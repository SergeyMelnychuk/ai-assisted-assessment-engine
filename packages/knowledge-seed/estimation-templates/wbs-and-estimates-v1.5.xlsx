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age Manual" sheetId="1" state="visible" r:id="rId1"/>
    <sheet xmlns:r="http://schemas.openxmlformats.org/officeDocument/2006/relationships" name="Check-list" sheetId="2" state="visible" r:id="rId2"/>
    <sheet xmlns:r="http://schemas.openxmlformats.org/officeDocument/2006/relationships" name="Solution Context &amp; Sizing" sheetId="3" state="visible" r:id="rId3"/>
    <sheet xmlns:r="http://schemas.openxmlformats.org/officeDocument/2006/relationships" name="WBS and Estimates" sheetId="4" state="visible" r:id="rId4"/>
    <sheet xmlns:r="http://schemas.openxmlformats.org/officeDocument/2006/relationships" name="BA Estimation" sheetId="5" state="visible" r:id="rId5"/>
    <sheet xmlns:r="http://schemas.openxmlformats.org/officeDocument/2006/relationships" name="Arch Estimation" sheetId="6" state="visible" r:id="rId6"/>
    <sheet xmlns:r="http://schemas.openxmlformats.org/officeDocument/2006/relationships" name="QA Estimation" sheetId="7" state="visible" r:id="rId7"/>
    <sheet xmlns:r="http://schemas.openxmlformats.org/officeDocument/2006/relationships" name="DevOps Estimation" sheetId="8" state="visible" r:id="rId8"/>
    <sheet xmlns:r="http://schemas.openxmlformats.org/officeDocument/2006/relationships" name="PM Estimation" sheetId="9" state="visible" r:id="rId9"/>
    <sheet xmlns:r="http://schemas.openxmlformats.org/officeDocument/2006/relationships" name="UIUX Estimation" sheetId="10" state="visible" r:id="rId10"/>
    <sheet xmlns:r="http://schemas.openxmlformats.org/officeDocument/2006/relationships" name="Buffers &amp; Non-Dev Activities" sheetId="11" state="visible" r:id="rId11"/>
    <sheet xmlns:r="http://schemas.openxmlformats.org/officeDocument/2006/relationships" name="Rates" sheetId="12" state="visible" r:id="rId12"/>
    <sheet xmlns:r="http://schemas.openxmlformats.org/officeDocument/2006/relationships" name="Input Data" sheetId="13" state="visible" r:id="rId13"/>
    <sheet xmlns:r="http://schemas.openxmlformats.org/officeDocument/2006/relationships" name="Internal Cost &amp; Profitability" sheetId="14" state="visible" r:id="rId14"/>
    <sheet xmlns:r="http://schemas.openxmlformats.org/officeDocument/2006/relationships" name="Headcount and Cost" sheetId="15" state="visible" r:id="rId15"/>
    <sheet xmlns:r="http://schemas.openxmlformats.org/officeDocument/2006/relationships" name="Monthly Cost Roll-out" sheetId="16" state="visible" r:id="rId16"/>
    <sheet xmlns:r="http://schemas.openxmlformats.org/officeDocument/2006/relationships" name="Fixed Costs" sheetId="17" state="visible" r:id="rId17"/>
    <sheet xmlns:r="http://schemas.openxmlformats.org/officeDocument/2006/relationships" name="Maintenance" sheetId="18" state="visible" r:id="rId18"/>
    <sheet xmlns:r="http://schemas.openxmlformats.org/officeDocument/2006/relationships" name="Epic Weight" sheetId="19" state="visible" r:id="rId19"/>
    <sheet xmlns:r="http://schemas.openxmlformats.org/officeDocument/2006/relationships" name="WBS Comparison" sheetId="20" state="visible" r:id="rId20"/>
  </sheets>
  <definedNames>
    <definedName name="RefUnitTest">'Input Data'!$B$5</definedName>
    <definedName name="RefIntegrationTest">'Input Data'!$B$6</definedName>
    <definedName name="RefCodeReview">'Input Data'!$B$7</definedName>
    <definedName name="RefManualQA">'Input Data'!$B$8</definedName>
    <definedName name="RefAQA">'Input Data'!$B$9</definedName>
    <definedName name="RefBugFix">'Input Data'!$B$10</definedName>
    <definedName name="RefDocumentation">'Input Data'!$B$11</definedName>
    <definedName name="RefCommunication">'Input Data'!$B$12</definedName>
    <definedName name="RefRate">'Input Data'!$B$13</definedName>
    <definedName name="EnumRoles">'Input Data'!$F$17:$F$29</definedName>
    <definedName name="EnumSeniorities">'Input Data'!$H$17:$H$23</definedName>
    <definedName name="EnumPhase">'Input Data'!$J$17:$J$22</definedName>
    <definedName name="EnumLocations">'Input Data'!$L$17:$L$21</definedName>
    <definedName name="EnumYesNo">'Input Data'!$N$17:$N$18</definedName>
    <definedName name="EnumInclude">'Input Data'!$P$17:$P$18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1">
    <font>
      <name val="Calibri"/>
      <color theme="1"/>
      <sz val="11"/>
      <scheme val="minor"/>
    </font>
    <font>
      <name val="Calibri"/>
      <b val="1"/>
      <color rgb="FF305496"/>
      <sz val="16"/>
      <scheme val="minor"/>
    </font>
    <font>
      <name val="Calibri"/>
      <i val="1"/>
      <color rgb="FF595959"/>
      <scheme val="minor"/>
    </font>
    <font>
      <name val="Calibri"/>
      <b val="1"/>
      <color rgb="FF305496"/>
      <sz val="12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b val="1"/>
      <color rgb="FF305496"/>
      <sz val="14"/>
      <scheme val="minor"/>
    </font>
    <font>
      <name val="Calibri"/>
      <b val="1"/>
      <i val="1"/>
      <color rgb="FF305496"/>
      <sz val="10"/>
      <scheme val="minor"/>
    </font>
    <font>
      <name val="Calibri"/>
      <i val="1"/>
      <color rgb="FF595959"/>
      <sz val="10"/>
      <scheme val="minor"/>
    </font>
    <font/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b val="1"/>
      <color rgb="FF000000"/>
      <sz val="10"/>
      <scheme val="minor"/>
    </font>
    <font>
      <name val="Calibri"/>
      <i val="1"/>
      <color theme="1"/>
      <scheme val="minor"/>
    </font>
    <font>
      <name val="Calibri"/>
      <b val="1"/>
      <i val="1"/>
      <color theme="1"/>
      <scheme val="minor"/>
    </font>
    <font>
      <name val="Calibri"/>
      <b val="1"/>
      <color theme="1"/>
      <sz val="12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  <font>
      <color rgb="00666666"/>
    </font>
  </fonts>
  <fills count="12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  <fill>
      <patternFill patternType="solid">
        <fgColor rgb="00FFE699"/>
      </patternFill>
    </fill>
    <fill>
      <patternFill patternType="solid">
        <fgColor rgb="00FFFFCC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top"/>
    </xf>
    <xf numFmtId="0" fontId="8" fillId="2" borderId="2" applyAlignment="1" pivotButton="0" quotePrefix="0" xfId="0">
      <alignment vertical="top" wrapText="1"/>
    </xf>
    <xf numFmtId="0" fontId="9" fillId="0" borderId="3" pivotButton="0" quotePrefix="0" xfId="0"/>
    <xf numFmtId="0" fontId="9" fillId="0" borderId="4" pivotButton="0" quotePrefix="0" xfId="0"/>
    <xf numFmtId="0" fontId="10" fillId="3" borderId="5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4" borderId="1" pivotButton="0" quotePrefix="0" xfId="0"/>
    <xf numFmtId="0" fontId="4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10" fillId="3" borderId="2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4" fillId="8" borderId="1" pivotButton="0" quotePrefix="0" xfId="0"/>
    <xf numFmtId="0" fontId="5" fillId="9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0" fontId="8" fillId="2" borderId="1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0" fontId="18" fillId="10" borderId="0" pivotButton="0" quotePrefix="0" xfId="0"/>
    <xf numFmtId="0" fontId="19" fillId="0" borderId="0" pivotButton="0" quotePrefix="0" xfId="0"/>
    <xf numFmtId="10" fontId="0" fillId="11" borderId="0" pivotButton="0" quotePrefix="0" xfId="0"/>
    <xf numFmtId="0" fontId="20" fillId="0" borderId="0" pivotButton="0" quotePrefix="0" xfId="0"/>
    <xf numFmtId="164" fontId="0" fillId="11" borderId="0" pivotButton="0" quotePrefix="0" xfId="0"/>
    <xf numFmtId="0" fontId="19" fillId="1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8CBAD"/>
          <bgColor rgb="FFF8CBA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27" min="1" max="1"/>
    <col width="36" customWidth="1" style="27" min="2" max="2"/>
    <col width="110" customWidth="1" style="27" min="3" max="3"/>
    <col width="8.710000000000001" customWidth="1" style="27" min="4" max="26"/>
  </cols>
  <sheetData>
    <row r="1">
      <c r="A1" s="1" t="inlineStr">
        <is>
          <t>WBS and Estimates v1.5 — Usage Manual</t>
        </is>
      </c>
    </row>
    <row r="2">
      <c r="A2" s="2" t="inlineStr">
        <is>
          <t>A presale/delivery estimation pack. PERT 3-point estimation per discipline, reconciled into one resource and cost model with profitability and a maintenance run-rate.</t>
        </is>
      </c>
    </row>
    <row r="4">
      <c r="A4" s="3" t="inlineStr">
        <is>
          <t>Document conventions</t>
        </is>
      </c>
    </row>
    <row r="5" ht="42" customHeight="1" s="27">
      <c r="B5" s="4" t="inlineStr">
        <is>
          <t>Color coding</t>
        </is>
      </c>
      <c r="C5" s="5" t="inlineStr">
        <is>
          <t>GRAY = hardcoded input (do not edit). BLUE = computed (do not edit). GREEN = editable (estimator inputs go here). YELLOW = epic / section / guidance row. ORANGE = validation warning (P/O ratio &gt; 5 or O&gt;ML&gt;P).</t>
        </is>
      </c>
    </row>
    <row r="6" ht="27.75" customHeight="1" s="27">
      <c r="B6" s="4" t="inlineStr">
        <is>
          <t>Per-tab guidance</t>
        </is>
      </c>
      <c r="C6" s="5" t="inlineStr">
        <is>
          <t>Every tab has a yellow guidance block at the top with Purpose / How to use / Inputs / Outputs / Linked tabs. Read it before editing.</t>
        </is>
      </c>
    </row>
    <row r="7" ht="27.75" customHeight="1" s="27">
      <c r="B7" s="4" t="inlineStr">
        <is>
          <t>Named ranges</t>
        </is>
      </c>
      <c r="C7" s="5" t="inlineStr">
        <is>
          <t>Coefficients and enums are named ranges (RefBugFix, RefRate, EnumRoles, ...). Edit them on the Input Data tab; references update everywhere.</t>
        </is>
      </c>
    </row>
    <row r="8">
      <c r="A8" s="3" t="inlineStr">
        <is>
          <t>Methodology</t>
        </is>
      </c>
    </row>
    <row r="9" ht="42" customHeight="1" s="27">
      <c r="B9" s="4" t="inlineStr">
        <is>
          <t>PERT formulas</t>
        </is>
      </c>
      <c r="C9" s="5" t="inlineStr">
        <is>
          <t>Expected = (O + 4*ML + P)/6. StdDev = (P - O)/6. Variance = StdDev^2. Project Buffer on the Buffers tab = Subtotal + Z * sqrt(Sum(Variance)). Z = 0 (50%) / 1 (84%) / 2 (97%) confidence.</t>
        </is>
      </c>
    </row>
    <row r="10" ht="55.5" customHeight="1" s="27">
      <c r="B10" s="4" t="inlineStr">
        <is>
          <t>Two layers of risk</t>
        </is>
      </c>
      <c r="C10" s="5" t="inlineStr">
        <is>
          <t>(1) Per-line Contingency on every Est tab (Apply = Yes =&gt; add ML * default_contingency to Expected). Use this for SPECIFIC uncertain items (KYC, blockchain, vendor APIs). (2) Project-wide PERT Z-score buffer on the Buffers tab. Use this for OVERALL confidence interval on the SOW.</t>
        </is>
      </c>
    </row>
    <row r="11" ht="27.75" customHeight="1" s="27">
      <c r="B11" s="4" t="inlineStr">
        <is>
          <t>Augmentation coefficients</t>
        </is>
      </c>
      <c r="C11" s="5" t="inlineStr">
        <is>
          <t>On the WBS tab, Augmented = Base * (1 + UnitTest + IntegrationTest + CodeReview). Bugfix / Documentation / Communication are added on the Buffers tab as % of Buffered total.</t>
        </is>
      </c>
    </row>
    <row r="12" ht="42" customHeight="1" s="27">
      <c r="B12" s="4" t="inlineStr">
        <is>
          <t>QA derivation</t>
        </is>
      </c>
      <c r="C12" s="5" t="inlineStr">
        <is>
          <t>Manual QA = (BE + FE) * RefManualQA. AQA = (BE + FE) * RefAQA. v1.5 fixes the v1.4 bug where QA variance was not propagated — Z-score buffer now applies to QA too. Alternative: use the QA Estimation tab for a per-stream QA WBS and override these coefficients.</t>
        </is>
      </c>
    </row>
    <row r="13" ht="55.5" customHeight="1" s="27">
      <c r="B13" s="4" t="inlineStr">
        <is>
          <t>Cost layering</t>
        </is>
      </c>
      <c r="C13" s="5" t="inlineStr">
        <is>
          <t>(a) FTE cost from Headcount and Cost (rate looked up by Role x Seniority x Location on Rates tab; falls back to RefRate if no match). (b) Fixed Costs tab adds lump sums (pen test, audit, ...). (c) Maintenance tab models post go-live monthly run rate. (d) Internal Cost &amp; Profitability gives margin.</t>
        </is>
      </c>
    </row>
    <row r="14">
      <c r="A14" s="3" t="inlineStr">
        <is>
          <t>Workflow — order of operations</t>
        </is>
      </c>
    </row>
    <row r="15" ht="27.75" customHeight="1" s="27">
      <c r="B15" s="4" t="inlineStr">
        <is>
          <t>Step 1 — Set context</t>
        </is>
      </c>
      <c r="C15" s="5" t="inlineStr">
        <is>
          <t>Fill Check-list (estimator names + reviews). Fill Solution Context &amp; Sizing (#products, channels, integrations, durations, risks). Without these the number is unfalsifiable.</t>
        </is>
      </c>
    </row>
    <row r="16" ht="55.5" customHeight="1" s="27">
      <c r="B16" s="4" t="inlineStr">
        <is>
          <t>Step 2 — Build WBS</t>
        </is>
      </c>
      <c r="C16" s="5" t="inlineStr">
        <is>
          <t>On WBS and Estimates, replace seed rows with your epics and user stories. Use stable IDs (E-1, US-1.3). Per row: enter O/ML/P for BE and FE, set Include / Phase / Milestone, write Assumptions / Description / Out of Scope / Jira link. Validation will flag P/O &gt; 5 or O&gt;ML&gt;P in orange.</t>
        </is>
      </c>
    </row>
    <row r="17" ht="42" customHeight="1" s="27">
      <c r="B17" s="4" t="inlineStr">
        <is>
          <t>Step 3 — Apply per-line contingency</t>
        </is>
      </c>
      <c r="C17" s="5" t="inlineStr">
        <is>
          <t>For HIGH-UNCERTAINTY rows set Apply Contingency = Yes. The default contingency is per-discipline (BA 20%, Arch 30%, QA 15%, DevOps 30%, PM 20%, UIUX 20%); on WBS the contingency is entered manually per row.</t>
        </is>
      </c>
    </row>
    <row r="18" ht="27.75" customHeight="1" s="27">
      <c r="B18" s="4" t="inlineStr">
        <is>
          <t>Step 4 — Fill discipline tabs</t>
        </is>
      </c>
      <c r="C18" s="5" t="inlineStr">
        <is>
          <t>BA / Arch / QA / DevOps / PM / UIUX. Same column shape on each tab. Mark Include / Phase per item. Items left at zero hours are still in the catalogue but excluded from totals.</t>
        </is>
      </c>
    </row>
    <row r="19" ht="27.75" customHeight="1" s="27">
      <c r="B19" s="4" t="inlineStr">
        <is>
          <t>Step 5 — Set Z-score</t>
        </is>
      </c>
      <c r="C19" s="5" t="inlineStr">
        <is>
          <t>On Buffers &amp; Non-Dev Activities choose Z (0..2). Higher = more buffer = more conservative SOW. Default 1.0 (84% CI).</t>
        </is>
      </c>
    </row>
    <row r="20" ht="42" customHeight="1" s="27">
      <c r="B20" s="4" t="inlineStr">
        <is>
          <t>Step 6 — Maintain Rates</t>
        </is>
      </c>
      <c r="C20" s="5" t="inlineStr">
        <is>
          <t>Edit Rates tab: rows are (Role x Seniority x Location =&gt; $/h). Headcount and Cost looks up rate via INDEX/MATCH. If no row matches the resource's (Role, Seniority, Location), the formula falls back to RefRate.</t>
        </is>
      </c>
    </row>
    <row r="21" ht="42" customHeight="1" s="27">
      <c r="B21" s="4" t="inlineStr">
        <is>
          <t>Step 7 — Allocate resources</t>
        </is>
      </c>
      <c r="C21" s="5" t="inlineStr">
        <is>
          <t>On Headcount and Cost, add a row per resource with Role / Seniority / Location / Headcount / Allocation / Start Week / End Week. The right-hand 'Estimated vs Allocated' panel computes Delta Hours per role; minimize the absolute value.</t>
        </is>
      </c>
    </row>
    <row r="22" ht="27.75" customHeight="1" s="27">
      <c r="B22" s="4" t="inlineStr">
        <is>
          <t>Step 8 — Add fixed costs</t>
        </is>
      </c>
      <c r="C22" s="5" t="inlineStr">
        <is>
          <t>On Fixed Costs add 3rd-party items (pen test, audit, perf test, KYC vendor licenses, cloud cost). Set Include = Included / Not included / Post-MVP.</t>
        </is>
      </c>
    </row>
    <row r="23" ht="27.75" customHeight="1" s="27">
      <c r="B23" s="4" t="inlineStr">
        <is>
          <t>Step 9 — Verify margin</t>
        </is>
      </c>
      <c r="C23" s="5" t="inlineStr">
        <is>
          <t>On Internal Cost &amp; Profitability check 'Project Profitability (build)' is at or above the desired threshold. If not, revisit Rates / seniority mix / scope.</t>
        </is>
      </c>
    </row>
    <row r="24" ht="18" customHeight="1" s="27">
      <c r="B24" s="4" t="inlineStr">
        <is>
          <t>Step 10 — Plan maintenance</t>
        </is>
      </c>
      <c r="C24" s="5" t="inlineStr">
        <is>
          <t>Fill the Maintenance tab. Annual Run-rate is exposed; quote it separately in the SOW.</t>
        </is>
      </c>
    </row>
    <row r="25" ht="27.75" customHeight="1" s="27">
      <c r="B25" s="4" t="inlineStr">
        <is>
          <t>Step 11 — Use reports</t>
        </is>
      </c>
      <c r="C25" s="5" t="inlineStr">
        <is>
          <t>Epic Weight ranks epics by cost (sponsor view). Monthly Cost Roll-out shows cash-flow profile. WBS Comparison stores snapshots so scope creep between versions is visible.</t>
        </is>
      </c>
    </row>
    <row r="26" ht="27.75" customHeight="1" s="27">
      <c r="B26" s="4" t="inlineStr">
        <is>
          <t>Step 12 — Peer review &amp; sign-off</t>
        </is>
      </c>
      <c r="C26" s="5" t="inlineStr">
        <is>
          <t>Update Check-list reviews to 'Yes' once Architecture / Design / BA / QA / DevOps / Estimation peer reviews complete. DM/PM final sign-off last.</t>
        </is>
      </c>
    </row>
    <row r="27" ht="15.75" customHeight="1" s="27">
      <c r="A27" s="3" t="inlineStr">
        <is>
          <t>Tab index</t>
        </is>
      </c>
    </row>
    <row r="28" ht="18" customHeight="1" s="27">
      <c r="B28" s="4" t="inlineStr">
        <is>
          <t>Check-list</t>
        </is>
      </c>
      <c r="C28" s="5" t="inlineStr">
        <is>
          <t>WHO estimated and WHAT was reviewed. Use it as the audit trail.</t>
        </is>
      </c>
    </row>
    <row r="29" ht="18" customHeight="1" s="27">
      <c r="B29" s="4" t="inlineStr">
        <is>
          <t>Solution Context &amp; Sizing</t>
        </is>
      </c>
      <c r="C29" s="5" t="inlineStr">
        <is>
          <t>WHY the number is what it is. Records the assumptions the estimate is conditioned on.</t>
        </is>
      </c>
    </row>
    <row r="30" ht="18" customHeight="1" s="27">
      <c r="B30" s="4" t="inlineStr">
        <is>
          <t>WBS and Estimates</t>
        </is>
      </c>
      <c r="C30" s="5" t="inlineStr">
        <is>
          <t>Hierarchical Epic &gt; User Story with BE/FE PERT estimates and per-row metadata.</t>
        </is>
      </c>
    </row>
    <row r="31" ht="18" customHeight="1" s="27">
      <c r="B31" s="4" t="inlineStr">
        <is>
          <t>BA / Arch / QA / DevOps / PM / UIUX Estimation</t>
        </is>
      </c>
      <c r="C31" s="5" t="inlineStr">
        <is>
          <t>Per-discipline WBS. Replace the catalogue with reality and toggle Include/Phase per item.</t>
        </is>
      </c>
    </row>
    <row r="32" ht="27.75" customHeight="1" s="27">
      <c r="B32" s="4" t="inlineStr">
        <is>
          <t>Buffers &amp; Non-Dev Activities</t>
        </is>
      </c>
      <c r="C32" s="5" t="inlineStr">
        <is>
          <t>Applies PERT Z-score, Bugfix/Doc/Communication coefficients, derives MQA/AQA, adds discipline roll-ups.</t>
        </is>
      </c>
    </row>
    <row r="33" ht="18" customHeight="1" s="27">
      <c r="B33" s="4" t="inlineStr">
        <is>
          <t>Rates</t>
        </is>
      </c>
      <c r="C33" s="5" t="inlineStr">
        <is>
          <t>Role x Seniority x Location rate card.</t>
        </is>
      </c>
    </row>
    <row r="34" ht="18" customHeight="1" s="27">
      <c r="B34" s="4" t="inlineStr">
        <is>
          <t>Headcount and Cost</t>
        </is>
      </c>
      <c r="C34" s="5" t="inlineStr">
        <is>
          <t>Resource allocation grid with rate lookup; reconciles allocated vs estimated.</t>
        </is>
      </c>
    </row>
    <row r="35" ht="18" customHeight="1" s="27">
      <c r="B35" s="4" t="inlineStr">
        <is>
          <t>Internal Cost &amp; Profitability</t>
        </is>
      </c>
      <c r="C35" s="5" t="inlineStr">
        <is>
          <t>Salary + tax + overhead per resource; project profitability.</t>
        </is>
      </c>
    </row>
    <row r="36" ht="18" customHeight="1" s="27">
      <c r="B36" s="4" t="inlineStr">
        <is>
          <t>Monthly Cost Roll-out</t>
        </is>
      </c>
      <c r="C36" s="5" t="inlineStr">
        <is>
          <t>Spreads allocated cost across months for cash-flow.</t>
        </is>
      </c>
    </row>
    <row r="37" ht="18" customHeight="1" s="27">
      <c r="B37" s="4" t="inlineStr">
        <is>
          <t>Fixed Costs</t>
        </is>
      </c>
      <c r="C37" s="5" t="inlineStr">
        <is>
          <t>Lump-sum / 3rd-party costs included or excluded from the proposal.</t>
        </is>
      </c>
    </row>
    <row r="38" ht="18" customHeight="1" s="27">
      <c r="B38" s="4" t="inlineStr">
        <is>
          <t>Maintenance</t>
        </is>
      </c>
      <c r="C38" s="5" t="inlineStr">
        <is>
          <t>Post go-live monthly + annual run-rate.</t>
        </is>
      </c>
    </row>
    <row r="39" ht="18" customHeight="1" s="27">
      <c r="B39" s="4" t="inlineStr">
        <is>
          <t>Epic Weight</t>
        </is>
      </c>
      <c r="C39" s="5" t="inlineStr">
        <is>
          <t>Cost-by-epic ranking for sponsor conversations.</t>
        </is>
      </c>
    </row>
    <row r="40" ht="18" customHeight="1" s="27">
      <c r="B40" s="4" t="inlineStr">
        <is>
          <t>WBS Comparison</t>
        </is>
      </c>
      <c r="C40" s="5" t="inlineStr">
        <is>
          <t>Side-by-side WBS snapshots; deltas between versions.</t>
        </is>
      </c>
    </row>
    <row r="41" ht="18" customHeight="1" s="27">
      <c r="B41" s="4" t="inlineStr">
        <is>
          <t>Input Data</t>
        </is>
      </c>
      <c r="C41" s="5" t="inlineStr">
        <is>
          <t>Global coefficients, blended-rate fallback, enums for dropdowns.</t>
        </is>
      </c>
    </row>
    <row r="42" ht="15.75" customHeight="1" s="27">
      <c r="A42" s="3" t="inlineStr">
        <is>
          <t>Field glossary</t>
        </is>
      </c>
    </row>
    <row r="43" ht="27.75" customHeight="1" s="27">
      <c r="B43" s="4" t="inlineStr">
        <is>
          <t>Include</t>
        </is>
      </c>
      <c r="C43" s="5" t="inlineStr">
        <is>
          <t>Included = goes into totals &amp; SOW. Not included = stays in catalogue but excluded. Post-MVP = parked. Select = decision pending.</t>
        </is>
      </c>
    </row>
    <row r="44" ht="27.75" customHeight="1" s="27">
      <c r="B44" s="4" t="inlineStr">
        <is>
          <t>Project Phase</t>
        </is>
      </c>
      <c r="C44" s="5" t="inlineStr">
        <is>
          <t>Discovery / Implementation / Post-MVP Enhancement / Maintenance. Drives where the row's hours land in the cost roll-out.</t>
        </is>
      </c>
    </row>
    <row r="45" ht="27.75" customHeight="1" s="27">
      <c r="B45" s="4" t="inlineStr">
        <is>
          <t>Apply Contingency</t>
        </is>
      </c>
      <c r="C45" s="5" t="inlineStr">
        <is>
          <t>Yes/No per row. When Yes, default contingency % multiplies Most Likely and is added to Expected to form Final Expected.</t>
        </is>
      </c>
    </row>
    <row r="46" ht="18" customHeight="1" s="27">
      <c r="B46" s="4" t="inlineStr">
        <is>
          <t>Final Expected</t>
        </is>
      </c>
      <c r="C46" s="5" t="inlineStr">
        <is>
          <t>Expected + Contingency. This is what feeds totals and downstream tabs.</t>
        </is>
      </c>
    </row>
    <row r="47" ht="27.75" customHeight="1" s="27">
      <c r="B47" s="4" t="inlineStr">
        <is>
          <t>Seniority Index</t>
        </is>
      </c>
      <c r="C47" s="5" t="inlineStr">
        <is>
          <t>Roughly: average external rate divided by RefRate. &gt; 1 means the team is more senior than the blended baseline; &lt; 1 means more junior.</t>
        </is>
      </c>
    </row>
    <row r="48" ht="27.75" customHeight="1" s="27">
      <c r="B48" s="4" t="inlineStr">
        <is>
          <t>Delta Hours</t>
        </is>
      </c>
      <c r="C48" s="5" t="inlineStr">
        <is>
          <t>Allocated Hours minus Estimated Hours per role. Negative = under-staffed (project will run long). Positive = over-staffed (cost waste).</t>
        </is>
      </c>
    </row>
    <row r="49" ht="15.75" customHeight="1" s="27">
      <c r="A49" s="3" t="inlineStr">
        <is>
          <t>Defensibility checklist</t>
        </is>
      </c>
    </row>
    <row r="50" ht="55.5" customHeight="1" s="27">
      <c r="B50" s="4" t="inlineStr">
        <is>
          <t>Before sending the estimate</t>
        </is>
      </c>
      <c r="C50" s="5" t="inlineStr">
        <is>
          <t>(1) Check-list filled. (2) Solution Context filled. (3) No orange validation warnings on WBS. (4) Discipline tabs reviewed by their respective leads. (5) Profitability &gt;= threshold. (6) Peer review done. (7) Sponsor view (Epic Weight) sanity-checked. (8) Maintenance discussed even if not in scope.</t>
        </is>
      </c>
    </row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8">
    <mergeCell ref="A42:C42"/>
    <mergeCell ref="A49:C49"/>
    <mergeCell ref="A1:C1"/>
    <mergeCell ref="A8:C8"/>
    <mergeCell ref="A14:C14"/>
    <mergeCell ref="A27:C27"/>
    <mergeCell ref="A4:C4"/>
    <mergeCell ref="A2:C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ColWidth="14.43" defaultRowHeight="15" customHeight="1"/>
  <cols>
    <col width="12.14" customWidth="1" style="27" min="1" max="1"/>
    <col width="50" customWidth="1" style="27" min="2" max="2"/>
    <col width="30" customWidth="1" style="27" min="3" max="3"/>
    <col width="18" customWidth="1" style="27" min="4" max="4"/>
    <col width="30" customWidth="1" style="27" min="5" max="6"/>
    <col width="8.710000000000001" customWidth="1" style="27" min="7" max="26"/>
  </cols>
  <sheetData>
    <row r="1">
      <c r="A1" s="6" t="inlineStr">
        <is>
          <t>Check-list — Estimator team &amp; reviews</t>
        </is>
      </c>
    </row>
    <row r="2" ht="30" customHeight="1" s="27">
      <c r="A2" s="7" t="inlineStr">
        <is>
          <t>Purpose:</t>
        </is>
      </c>
      <c r="B2" s="28" t="inlineStr">
        <is>
          <t>Audit trail for the estimate. Records WHO contributed each role's number and WHICH reviews have been completed. Without it, the workbook is anonymous and undefendable.</t>
        </is>
      </c>
    </row>
    <row r="3" ht="48" customHeight="1" s="27">
      <c r="A3" s="7" t="inlineStr">
        <is>
          <t>How to use:</t>
        </is>
      </c>
      <c r="B3" s="28" t="inlineStr">
        <is>
          <t>Fill the names per role. As each review (Architecture / Design / BA / QA / DevOps / Peer / DM-PM sign-off) completes, set State = Yes and add Date + Reviewer. Mandatory calculations at the bottom point to where each KPI lives so a reviewer can verify them.</t>
        </is>
      </c>
    </row>
    <row r="4" ht="30" customHeight="1" s="27">
      <c r="A4" s="7" t="inlineStr">
        <is>
          <t>Inputs:</t>
        </is>
      </c>
      <c r="B4" s="28" t="inlineStr">
        <is>
          <t>Names (manual). Review states / dates / reviewers (manual). KPI values can be linked from other tabs.</t>
        </is>
      </c>
    </row>
    <row r="5" ht="30" customHeight="1" s="27">
      <c r="A5" s="7" t="inlineStr">
        <is>
          <t>Outputs:</t>
        </is>
      </c>
      <c r="B5" s="28" t="inlineStr">
        <is>
          <t>A single-page record that proves who estimated and who signed off.</t>
        </is>
      </c>
    </row>
    <row r="6" ht="30" customHeight="1" s="27">
      <c r="A6" s="7" t="inlineStr">
        <is>
          <t>Linked tabs:</t>
        </is>
      </c>
      <c r="B6" s="28" t="inlineStr">
        <is>
          <t>Mandatory calculations point to: Internal Cost &amp; Profitability, Headcount and Cost, Maintenance.</t>
        </is>
      </c>
    </row>
    <row r="8">
      <c r="B8" s="11" t="inlineStr">
        <is>
          <t>Role / responsibility</t>
        </is>
      </c>
      <c r="C8" s="11" t="inlineStr">
        <is>
          <t>Last name, First name</t>
        </is>
      </c>
    </row>
    <row r="9">
      <c r="B9" s="12" t="inlineStr">
        <is>
          <t>DM responsible for estimation</t>
        </is>
      </c>
      <c r="C9" s="15" t="n"/>
    </row>
    <row r="10">
      <c r="B10" s="12" t="inlineStr">
        <is>
          <t>PM responsible for estimation (if any)</t>
        </is>
      </c>
      <c r="C10" s="15" t="n"/>
    </row>
    <row r="12">
      <c r="A12" s="14" t="inlineStr">
        <is>
          <t>Estimation Team</t>
        </is>
      </c>
    </row>
    <row r="13">
      <c r="B13" s="11" t="inlineStr">
        <is>
          <t>Role</t>
        </is>
      </c>
      <c r="C13" s="11" t="inlineStr">
        <is>
          <t>Last name, First name</t>
        </is>
      </c>
    </row>
    <row r="14">
      <c r="B14" s="12" t="inlineStr">
        <is>
          <t>Solution Architect</t>
        </is>
      </c>
      <c r="C14" s="15" t="n"/>
    </row>
    <row r="15">
      <c r="B15" s="12" t="inlineStr">
        <is>
          <t>Software Architect</t>
        </is>
      </c>
      <c r="C15" s="15" t="n"/>
    </row>
    <row r="16">
      <c r="B16" s="12" t="inlineStr">
        <is>
          <t>Data Architect</t>
        </is>
      </c>
      <c r="C16" s="15" t="n"/>
    </row>
    <row r="17">
      <c r="B17" s="12" t="inlineStr">
        <is>
          <t>Lead BA / BA</t>
        </is>
      </c>
      <c r="C17" s="15" t="n"/>
    </row>
    <row r="18">
      <c r="B18" s="12" t="inlineStr">
        <is>
          <t>Lead QA / QA</t>
        </is>
      </c>
      <c r="C18" s="15" t="n"/>
    </row>
    <row r="19">
      <c r="B19" s="12" t="inlineStr">
        <is>
          <t>DevOps</t>
        </is>
      </c>
      <c r="C19" s="15" t="n"/>
    </row>
    <row r="20">
      <c r="B20" s="12" t="inlineStr">
        <is>
          <t>Designer (UI/UX)</t>
        </is>
      </c>
      <c r="C20" s="15" t="n"/>
    </row>
    <row r="21" ht="15.75" customHeight="1" s="27">
      <c r="B21" s="12" t="inlineStr">
        <is>
          <t>Front-end Web Developer</t>
        </is>
      </c>
      <c r="C21" s="15" t="n"/>
    </row>
    <row r="22" ht="15.75" customHeight="1" s="27">
      <c r="B22" s="12" t="inlineStr">
        <is>
          <t>Front-end Mobile Developer</t>
        </is>
      </c>
      <c r="C22" s="15" t="n"/>
    </row>
    <row r="23" ht="15.75" customHeight="1" s="27">
      <c r="B23" s="12" t="inlineStr">
        <is>
          <t>Back-end Developer</t>
        </is>
      </c>
      <c r="C23" s="15" t="n"/>
    </row>
    <row r="24" ht="15.75" customHeight="1" s="27">
      <c r="B24" s="12" t="inlineStr">
        <is>
          <t>Other</t>
        </is>
      </c>
      <c r="C24" s="15" t="n"/>
    </row>
    <row r="25" ht="15.75" customHeight="1" s="27"/>
    <row r="26" ht="15.75" customHeight="1" s="27">
      <c r="A26" s="14" t="inlineStr">
        <is>
          <t>Reviews</t>
        </is>
      </c>
    </row>
    <row r="27" ht="15.75" customHeight="1" s="27">
      <c r="B27" s="11" t="inlineStr">
        <is>
          <t>Review type</t>
        </is>
      </c>
      <c r="C27" s="11" t="inlineStr">
        <is>
          <t>State</t>
        </is>
      </c>
      <c r="D27" s="11" t="inlineStr">
        <is>
          <t>Date</t>
        </is>
      </c>
      <c r="E27" s="11" t="inlineStr">
        <is>
          <t>Reviewer</t>
        </is>
      </c>
    </row>
    <row r="28" ht="15.75" customHeight="1" s="27">
      <c r="B28" s="12" t="inlineStr">
        <is>
          <t>Architecture Review</t>
        </is>
      </c>
      <c r="C28" s="15" t="inlineStr">
        <is>
          <t>Yes</t>
        </is>
      </c>
      <c r="D28" s="15" t="n"/>
      <c r="E28" s="15" t="n"/>
    </row>
    <row r="29" ht="15.75" customHeight="1" s="27">
      <c r="B29" s="12" t="inlineStr">
        <is>
          <t>Design Review (if any)</t>
        </is>
      </c>
      <c r="C29" s="15" t="n"/>
      <c r="D29" s="15" t="n"/>
      <c r="E29" s="15" t="n"/>
    </row>
    <row r="30" ht="15.75" customHeight="1" s="27">
      <c r="B30" s="12" t="inlineStr">
        <is>
          <t>BA / Requirements Review</t>
        </is>
      </c>
      <c r="C30" s="15" t="n"/>
      <c r="D30" s="15" t="n"/>
      <c r="E30" s="15" t="n"/>
    </row>
    <row r="31" ht="15.75" customHeight="1" s="27">
      <c r="B31" s="12" t="inlineStr">
        <is>
          <t>QA Strategy Review</t>
        </is>
      </c>
      <c r="C31" s="15" t="inlineStr">
        <is>
          <t>In progress</t>
        </is>
      </c>
      <c r="D31" s="15" t="n"/>
      <c r="E31" s="15" t="n"/>
    </row>
    <row r="32" ht="15.75" customHeight="1" s="27">
      <c r="B32" s="12" t="inlineStr">
        <is>
          <t>DevOps / Infra Review</t>
        </is>
      </c>
      <c r="C32" s="15" t="n"/>
      <c r="D32" s="15" t="n"/>
      <c r="E32" s="15" t="n"/>
    </row>
    <row r="33" ht="15.75" customHeight="1" s="27">
      <c r="B33" s="12" t="inlineStr">
        <is>
          <t>Estimation Peer Review</t>
        </is>
      </c>
      <c r="C33" s="15" t="n"/>
      <c r="D33" s="15" t="n"/>
      <c r="E33" s="15" t="n"/>
    </row>
    <row r="34" ht="15.75" customHeight="1" s="27">
      <c r="B34" s="12" t="inlineStr">
        <is>
          <t>Final Sign-off (DM/PM)</t>
        </is>
      </c>
      <c r="C34" s="15" t="n"/>
      <c r="D34" s="15" t="n"/>
      <c r="E34" s="15" t="n"/>
    </row>
    <row r="35" ht="15.75" customHeight="1" s="27"/>
    <row r="36" ht="15.75" customHeight="1" s="27">
      <c r="A36" s="14" t="inlineStr">
        <is>
          <t>Mandatory calculations</t>
        </is>
      </c>
    </row>
    <row r="37" ht="15.75" customHeight="1" s="27">
      <c r="B37" s="11" t="inlineStr">
        <is>
          <t>Calculation</t>
        </is>
      </c>
      <c r="C37" s="11" t="inlineStr">
        <is>
          <t>Value</t>
        </is>
      </c>
      <c r="D37" s="11" t="inlineStr">
        <is>
          <t>Source</t>
        </is>
      </c>
    </row>
    <row r="38" ht="15.75" customHeight="1" s="27">
      <c r="B38" s="12" t="inlineStr">
        <is>
          <t>Discovery Phase Profitability (if any)</t>
        </is>
      </c>
      <c r="C38" s="16" t="n"/>
      <c r="D38" s="2" t="inlineStr">
        <is>
          <t>Internal Cost &amp; Profitability</t>
        </is>
      </c>
    </row>
    <row r="39" ht="15.75" customHeight="1" s="27">
      <c r="B39" s="12" t="inlineStr">
        <is>
          <t>Proposed solution price profitability</t>
        </is>
      </c>
      <c r="C39" s="16" t="n"/>
      <c r="D39" s="2" t="inlineStr">
        <is>
          <t>Internal Cost &amp; Profitability</t>
        </is>
      </c>
    </row>
    <row r="40" ht="15.75" customHeight="1" s="27">
      <c r="B40" s="12" t="inlineStr">
        <is>
          <t>Seniority Index</t>
        </is>
      </c>
      <c r="C40" s="16" t="n"/>
      <c r="D40" s="2" t="inlineStr">
        <is>
          <t>Internal Cost &amp; Profitability</t>
        </is>
      </c>
    </row>
    <row r="41" ht="15.75" customHeight="1" s="27">
      <c r="B41" s="12" t="inlineStr">
        <is>
          <t>Total Hours (Build)</t>
        </is>
      </c>
      <c r="C41" s="16" t="n"/>
      <c r="D41" s="2" t="inlineStr">
        <is>
          <t>Headcount and Cost</t>
        </is>
      </c>
    </row>
    <row r="42" ht="15.75" customHeight="1" s="27">
      <c r="B42" s="12" t="inlineStr">
        <is>
          <t>Total Hours (Maintenance, monthly)</t>
        </is>
      </c>
      <c r="C42" s="16" t="n"/>
      <c r="D42" s="2" t="inlineStr">
        <is>
          <t>Maintenance</t>
        </is>
      </c>
    </row>
    <row r="43" ht="15.75" customHeight="1" s="27">
      <c r="B43" s="12" t="inlineStr">
        <is>
          <t>Total Cost (Build)</t>
        </is>
      </c>
      <c r="C43" s="16" t="n"/>
      <c r="D43" s="2" t="inlineStr">
        <is>
          <t>Headcount and Cost</t>
        </is>
      </c>
    </row>
    <row r="44" ht="15.75" customHeight="1" s="27">
      <c r="B44" s="12" t="inlineStr">
        <is>
          <t>Project Duration (weeks)</t>
        </is>
      </c>
      <c r="C44" s="16" t="n"/>
      <c r="D44" s="2" t="inlineStr">
        <is>
          <t>Headcount and Cost</t>
        </is>
      </c>
    </row>
    <row r="45" ht="15.75" customHeight="1" s="27">
      <c r="B45" s="12" t="inlineStr">
        <is>
          <t>Peak FTE</t>
        </is>
      </c>
      <c r="C45" s="16" t="n"/>
      <c r="D45" s="2" t="inlineStr">
        <is>
          <t>Headcount and Cost</t>
        </is>
      </c>
    </row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F4"/>
    <mergeCell ref="B6:F6"/>
    <mergeCell ref="B2:F2"/>
    <mergeCell ref="A1:F1"/>
    <mergeCell ref="B3:F3"/>
    <mergeCell ref="B5:F5"/>
  </mergeCells>
  <dataValidations count="1">
    <dataValidation sqref="C28:C34" showDropDown="0" showInputMessage="0" showErrorMessage="0" allowBlank="1" type="list">
      <formula1>"No,In progress,Yes"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7" min="1" max="1"/>
    <col width="32" customWidth="1" style="27" min="2" max="2"/>
    <col width="70" customWidth="1" style="27" min="3" max="3"/>
    <col width="40" customWidth="1" style="27" min="4" max="4"/>
    <col width="8.710000000000001" customWidth="1" style="27" min="5" max="26"/>
  </cols>
  <sheetData>
    <row r="1">
      <c r="A1" s="6" t="inlineStr">
        <is>
          <t>Solution Context &amp; Sizing</t>
        </is>
      </c>
    </row>
    <row r="2" ht="30" customHeight="1" s="27">
      <c r="A2" s="7" t="inlineStr">
        <is>
          <t>Purpose:</t>
        </is>
      </c>
      <c r="B2" s="28" t="inlineStr">
        <is>
          <t>Records the assumptions the estimate is conditioned on. If any of these change materially after the SOW is signed, the estimate must be revisited.</t>
        </is>
      </c>
    </row>
    <row r="3" ht="48" customHeight="1" s="27">
      <c r="A3" s="7" t="inlineStr">
        <is>
          <t>How to use:</t>
        </is>
      </c>
      <c r="B3" s="28" t="inlineStr">
        <is>
          <t>Fill the Value column for each parameter. Discuss with the client; if a parameter is unknown, mark it 'TBD' and add it to the top risks. Use this tab as the cover sheet of the estimate when sharing externally.</t>
        </is>
      </c>
    </row>
    <row r="4" ht="30" customHeight="1" s="27">
      <c r="A4" s="7" t="inlineStr">
        <is>
          <t>Inputs:</t>
        </is>
      </c>
      <c r="B4" s="28" t="inlineStr">
        <is>
          <t>Manual values from estimator + client conversations.</t>
        </is>
      </c>
    </row>
    <row r="5" ht="30" customHeight="1" s="27">
      <c r="A5" s="7" t="inlineStr">
        <is>
          <t>Outputs:</t>
        </is>
      </c>
      <c r="B5" s="28" t="inlineStr">
        <is>
          <t>An immutable record of the scoping context at the moment the estimate was made.</t>
        </is>
      </c>
    </row>
    <row r="6" ht="30" customHeight="1" s="27">
      <c r="A6" s="7" t="inlineStr">
        <is>
          <t>Linked tabs:</t>
        </is>
      </c>
      <c r="B6" s="28" t="inlineStr">
        <is>
          <t>Drives Apply Contingency = Yes decisions on every Est tab. Top risks here become the contingency drivers there.</t>
        </is>
      </c>
    </row>
    <row r="8">
      <c r="A8" s="17" t="inlineStr">
        <is>
          <t>Section</t>
        </is>
      </c>
      <c r="B8" s="17" t="inlineStr">
        <is>
          <t>Parameter</t>
        </is>
      </c>
      <c r="C8" s="17" t="inlineStr">
        <is>
          <t>Value / description</t>
        </is>
      </c>
      <c r="D8" s="17" t="inlineStr">
        <is>
          <t>Notes</t>
        </is>
      </c>
    </row>
    <row r="9">
      <c r="A9" s="5" t="inlineStr">
        <is>
          <t>Scope</t>
        </is>
      </c>
      <c r="B9" s="5" t="inlineStr">
        <is>
          <t>Products</t>
        </is>
      </c>
      <c r="C9" s="18" t="n"/>
      <c r="D9" s="5" t="inlineStr">
        <is>
          <t>e.g. 1 product (eWallet, marketplace, ...)</t>
        </is>
      </c>
    </row>
    <row r="10">
      <c r="A10" s="5" t="inlineStr">
        <is>
          <t>Scope</t>
        </is>
      </c>
      <c r="B10" s="5" t="inlineStr">
        <is>
          <t>Customers / customer categories</t>
        </is>
      </c>
      <c r="C10" s="18" t="n"/>
      <c r="D10" s="5" t="inlineStr">
        <is>
          <t>B2C / B2B / Internal</t>
        </is>
      </c>
    </row>
    <row r="11">
      <c r="A11" s="5" t="inlineStr">
        <is>
          <t>Scope</t>
        </is>
      </c>
      <c r="B11" s="5" t="inlineStr">
        <is>
          <t>User roles</t>
        </is>
      </c>
      <c r="C11" s="18" t="n"/>
      <c r="D11" s="5" t="inlineStr">
        <is>
          <t>e.g. End-user, Business user, Admin</t>
        </is>
      </c>
    </row>
    <row r="12">
      <c r="A12" s="5" t="inlineStr">
        <is>
          <t>Scope</t>
        </is>
      </c>
      <c r="B12" s="5" t="inlineStr">
        <is>
          <t>Channels</t>
        </is>
      </c>
      <c r="C12" s="18" t="n"/>
      <c r="D12" s="5" t="inlineStr">
        <is>
          <t>Web, iOS, Android, integrations</t>
        </is>
      </c>
    </row>
    <row r="13">
      <c r="A13" s="5" t="inlineStr">
        <is>
          <t>Scope</t>
        </is>
      </c>
      <c r="B13" s="5" t="inlineStr">
        <is>
          <t>Domain logic complexity</t>
        </is>
      </c>
      <c r="C13" s="18" t="n"/>
      <c r="D13" s="5" t="inlineStr">
        <is>
          <t>Simple CRUD / Domain heavy / Regulated</t>
        </is>
      </c>
    </row>
    <row r="14">
      <c r="A14" s="5" t="inlineStr">
        <is>
          <t>Scope</t>
        </is>
      </c>
      <c r="B14" s="5" t="inlineStr">
        <is>
          <t>Integrations (count)</t>
        </is>
      </c>
      <c r="C14" s="18" t="n"/>
      <c r="D14" s="5" t="inlineStr">
        <is>
          <t>5-15 integrations, list known ones</t>
        </is>
      </c>
    </row>
    <row r="15">
      <c r="A15" s="5" t="inlineStr">
        <is>
          <t>Scope</t>
        </is>
      </c>
      <c r="B15" s="5" t="inlineStr">
        <is>
          <t>Vendor / 3rd-party products</t>
        </is>
      </c>
      <c r="C15" s="18" t="n"/>
      <c r="D15" s="5" t="inlineStr">
        <is>
          <t>Set up by vendor or by us?</t>
        </is>
      </c>
    </row>
    <row r="16">
      <c r="A16" s="5" t="inlineStr">
        <is>
          <t>Scope</t>
        </is>
      </c>
      <c r="B16" s="5" t="inlineStr">
        <is>
          <t>Major features (epics)</t>
        </is>
      </c>
      <c r="C16" s="18" t="n"/>
      <c r="D16" s="5" t="inlineStr">
        <is>
          <t>10-15 epics typical</t>
        </is>
      </c>
    </row>
    <row r="17">
      <c r="A17" s="5" t="inlineStr">
        <is>
          <t>Infra</t>
        </is>
      </c>
      <c r="B17" s="5" t="inlineStr">
        <is>
          <t>Infrastructure model</t>
        </is>
      </c>
      <c r="C17" s="18" t="n"/>
      <c r="D17" s="5" t="inlineStr">
        <is>
          <t>Public cloud / On-prem / Hybrid / Multi-region</t>
        </is>
      </c>
    </row>
    <row r="18">
      <c r="A18" s="5" t="inlineStr">
        <is>
          <t>Infra</t>
        </is>
      </c>
      <c r="B18" s="5" t="inlineStr">
        <is>
          <t>Data residency / compliance</t>
        </is>
      </c>
      <c r="C18" s="18" t="n"/>
      <c r="D18" s="5" t="inlineStr">
        <is>
          <t>GDPR, HIPAA, PCI-DSS, SoX, ...</t>
        </is>
      </c>
    </row>
    <row r="19">
      <c r="A19" s="5" t="inlineStr">
        <is>
          <t>Infra</t>
        </is>
      </c>
      <c r="B19" s="5" t="inlineStr">
        <is>
          <t>Expected load</t>
        </is>
      </c>
      <c r="C19" s="18" t="n"/>
      <c r="D19" s="5" t="inlineStr">
        <is>
          <t>users, RPS, data volume</t>
        </is>
      </c>
    </row>
    <row r="20">
      <c r="A20" s="5" t="inlineStr">
        <is>
          <t>Infra</t>
        </is>
      </c>
      <c r="B20" s="5" t="inlineStr">
        <is>
          <t>Availability target</t>
        </is>
      </c>
      <c r="C20" s="18" t="n"/>
      <c r="D20" s="5" t="inlineStr">
        <is>
          <t>SLA, RTO, RPO</t>
        </is>
      </c>
    </row>
    <row r="21" ht="15.75" customHeight="1" s="27">
      <c r="A21" s="5" t="inlineStr">
        <is>
          <t>Phases</t>
        </is>
      </c>
      <c r="B21" s="5" t="inlineStr">
        <is>
          <t>Discovery duration</t>
        </is>
      </c>
      <c r="C21" s="18" t="n"/>
      <c r="D21" s="5" t="inlineStr">
        <is>
          <t>e.g. 1 month (3 weeks active work)</t>
        </is>
      </c>
    </row>
    <row r="22" ht="15.75" customHeight="1" s="27">
      <c r="A22" s="5" t="inlineStr">
        <is>
          <t>Phases</t>
        </is>
      </c>
      <c r="B22" s="5" t="inlineStr">
        <is>
          <t>Implementation duration</t>
        </is>
      </c>
      <c r="C22" s="18" t="n"/>
      <c r="D22" s="5" t="inlineStr">
        <is>
          <t>e.g. 5 months</t>
        </is>
      </c>
    </row>
    <row r="23" ht="15.75" customHeight="1" s="27">
      <c r="A23" s="5" t="inlineStr">
        <is>
          <t>Phases</t>
        </is>
      </c>
      <c r="B23" s="5" t="inlineStr">
        <is>
          <t>Maintenance / run-rate after go-live</t>
        </is>
      </c>
      <c r="C23" s="18" t="n"/>
      <c r="D23" s="5" t="inlineStr">
        <is>
          <t>Yes / No, how many months</t>
        </is>
      </c>
    </row>
    <row r="24" ht="15.75" customHeight="1" s="27">
      <c r="A24" s="5" t="inlineStr">
        <is>
          <t>Risks</t>
        </is>
      </c>
      <c r="B24" s="5" t="inlineStr">
        <is>
          <t>Top 3 estimation risks</t>
        </is>
      </c>
      <c r="C24" s="18" t="n"/>
      <c r="D24" s="5" t="inlineStr">
        <is>
          <t>drives per-line Apply Contingency = Yes</t>
        </is>
      </c>
    </row>
    <row r="25" ht="15.75" customHeight="1" s="27">
      <c r="A25" s="5" t="inlineStr">
        <is>
          <t>Risks</t>
        </is>
      </c>
      <c r="B25" s="5" t="inlineStr">
        <is>
          <t>Known unknowns</t>
        </is>
      </c>
      <c r="C25" s="18" t="n"/>
      <c r="D25" s="5" t="n"/>
    </row>
    <row r="26" ht="15.75" customHeight="1" s="27">
      <c r="A26" s="5" t="inlineStr">
        <is>
          <t>Risks</t>
        </is>
      </c>
      <c r="B26" s="5" t="inlineStr">
        <is>
          <t>Hard assumptions</t>
        </is>
      </c>
      <c r="C26" s="18" t="n"/>
      <c r="D26" s="5" t="inlineStr">
        <is>
          <t>things we believe but did not verify</t>
        </is>
      </c>
    </row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A1:D1"/>
    <mergeCell ref="B3:D3"/>
    <mergeCell ref="B5:D5"/>
    <mergeCell ref="B4:D4"/>
    <mergeCell ref="B6:D6"/>
    <mergeCell ref="B2:D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1" sqref="D11"/>
    </sheetView>
  </sheetViews>
  <sheetFormatPr baseColWidth="8" defaultColWidth="14.43" defaultRowHeight="15" customHeight="1"/>
  <cols>
    <col width="12" customWidth="1" style="27" min="1" max="1"/>
    <col width="10" customWidth="1" style="27" min="2" max="2"/>
    <col width="44.29" customWidth="1" style="27" min="3" max="3"/>
    <col width="6" customWidth="1" style="27" min="4" max="9"/>
    <col width="13.29" customWidth="1" style="27" min="10" max="10"/>
    <col width="9" customWidth="1" style="27" min="11" max="15"/>
    <col width="12" customWidth="1" style="27" min="16" max="17"/>
    <col width="9" customWidth="1" style="27" min="18" max="21"/>
    <col width="11" customWidth="1" style="27" min="22" max="24"/>
    <col width="13" customWidth="1" style="27" min="25" max="25"/>
    <col width="18" customWidth="1" style="27" min="26" max="26"/>
    <col width="11" customWidth="1" style="27" min="27" max="27"/>
    <col width="32" customWidth="1" style="27" min="28" max="28"/>
    <col width="36" customWidth="1" style="27" min="29" max="29"/>
    <col width="28" customWidth="1" style="27" min="30" max="30"/>
    <col width="20" customWidth="1" style="27" min="31" max="31"/>
    <col width="28" customWidth="1" style="27" min="32" max="33"/>
  </cols>
  <sheetData>
    <row r="1">
      <c r="A1" s="6" t="inlineStr">
        <is>
          <t>WBS and Estimates</t>
        </is>
      </c>
    </row>
    <row r="2" ht="48" customHeight="1" s="27">
      <c r="A2" s="7" t="inlineStr">
        <is>
          <t>Purpose:</t>
        </is>
      </c>
      <c r="B2" s="28" t="inlineStr">
        <is>
          <t>The product WBS — Epic &gt; User Story hierarchy with PERT 3-point estimates for Back-End and Front-End. Per-row metadata makes the estimate defensible: every row carries an Include flag, Project Phase, Milestone, Assumptions, Description, Out of Scope, Dependencies, Comments and Jira link.</t>
        </is>
      </c>
    </row>
    <row r="3" ht="48" customHeight="1" s="27">
      <c r="A3" s="7" t="inlineStr">
        <is>
          <t>How to use:</t>
        </is>
      </c>
      <c r="B3" s="28" t="inlineStr">
        <is>
          <t>(1) Add Section / Epic / User Story rows. Use stable IDs (E-1, US-1.3) — Epic Weight and WBS Comparison match by ID prefix. (2) Per US row, enter O / ML / P in hours for BE and FE. Augmented columns auto-add UnitTest+IntegrationTest+CodeReview. Expected, StdDev and Variance are PERT-derived. (3) Set Apply Contingency = Yes only on rows where you want to load extra hours; enter Contingency BE / FE manually. (4) Pick Include (Included / Not included / Post-MVP / Select), Phase, Milestone. (5) Fill Assumptions / Description / Out of Scope / Dependencies / Comments / Jira link. (6) Validation will highlight rows in ORANGE if P/O &gt; 5 or O&gt;ML&gt;P — fix or comment.</t>
        </is>
      </c>
    </row>
    <row r="4" ht="30" customHeight="1" s="27">
      <c r="A4" s="7" t="inlineStr">
        <is>
          <t>Inputs:</t>
        </is>
      </c>
      <c r="B4" s="28" t="inlineStr">
        <is>
          <t>O / ML / P per row (hours). Include / Phase / Milestone / Apply Contingency / Contingency BE/FE / metadata.</t>
        </is>
      </c>
    </row>
    <row r="5" ht="30" customHeight="1" s="27">
      <c r="A5" s="7" t="inlineStr">
        <is>
          <t>Outputs:</t>
        </is>
      </c>
      <c r="B5" s="28" t="inlineStr">
        <is>
          <t>Expected BE / FE per row, StdDev/Variance per row. Sums of P (col P, BE Expected) and Q (FE Expected), and S/U (variance) feed Buffers &amp; Non-Dev Activities.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(consumes Expected and Variance). Epic Weight (groups by ID prefix). WBS Comparison (joins by ID). Headcount and Cost (via Buffers totals).</t>
        </is>
      </c>
    </row>
    <row r="7">
      <c r="A7" s="17" t="inlineStr">
        <is>
          <t>Hierarchy</t>
        </is>
      </c>
      <c r="B7" s="17" t="inlineStr">
        <is>
          <t>ID</t>
        </is>
      </c>
      <c r="C7" s="17" t="inlineStr">
        <is>
          <t>Decomposition Item</t>
        </is>
      </c>
      <c r="D7" s="17" t="inlineStr">
        <is>
          <t>Backend, h</t>
        </is>
      </c>
      <c r="G7" s="17" t="inlineStr">
        <is>
          <t>Frontend, h</t>
        </is>
      </c>
      <c r="J7" s="17" t="inlineStr">
        <is>
          <t>Augmented Backend, h</t>
        </is>
      </c>
      <c r="M7" s="17" t="inlineStr">
        <is>
          <t>Augmented Frontend, h</t>
        </is>
      </c>
      <c r="P7" s="17" t="inlineStr">
        <is>
          <t>Expected Implementation Back-End (man/h)</t>
        </is>
      </c>
      <c r="Q7" s="17" t="inlineStr">
        <is>
          <t>Expected Implementation Front-End (man/h)</t>
        </is>
      </c>
      <c r="R7" s="17" t="inlineStr">
        <is>
          <t>StdDev BE</t>
        </is>
      </c>
      <c r="S7" s="17" t="inlineStr">
        <is>
          <t>Variance BE</t>
        </is>
      </c>
      <c r="T7" s="17" t="inlineStr">
        <is>
          <t>StdDev FE</t>
        </is>
      </c>
      <c r="U7" s="17" t="inlineStr">
        <is>
          <t>Variance FE</t>
        </is>
      </c>
      <c r="V7" s="17" t="inlineStr">
        <is>
          <t>Apply Contingency</t>
        </is>
      </c>
      <c r="W7" s="17" t="inlineStr">
        <is>
          <t>Contingency, h (BE)</t>
        </is>
      </c>
      <c r="X7" s="17" t="inlineStr">
        <is>
          <t>Contingency, h (FE)</t>
        </is>
      </c>
      <c r="Y7" s="17" t="inlineStr">
        <is>
          <t>Include</t>
        </is>
      </c>
      <c r="Z7" s="17" t="inlineStr">
        <is>
          <t>Project Phase</t>
        </is>
      </c>
      <c r="AA7" s="17" t="inlineStr">
        <is>
          <t>Milestone</t>
        </is>
      </c>
      <c r="AB7" s="17" t="inlineStr">
        <is>
          <t>Assumptions</t>
        </is>
      </c>
      <c r="AC7" s="17" t="inlineStr">
        <is>
          <t>Description / Scope</t>
        </is>
      </c>
      <c r="AD7" s="17" t="inlineStr">
        <is>
          <t>Out of Scope</t>
        </is>
      </c>
      <c r="AE7" s="17" t="inlineStr">
        <is>
          <t>Dependencies</t>
        </is>
      </c>
      <c r="AF7" s="17" t="inlineStr">
        <is>
          <t>Comments</t>
        </is>
      </c>
      <c r="AG7" s="17" t="inlineStr">
        <is>
          <t>Jira / Ticket Link</t>
        </is>
      </c>
    </row>
    <row r="8" ht="31.5" customHeight="1" s="27">
      <c r="A8" s="20" t="inlineStr">
        <is>
          <t>Hierarchy</t>
        </is>
      </c>
      <c r="B8" s="20" t="inlineStr">
        <is>
          <t>ID</t>
        </is>
      </c>
      <c r="C8" s="20" t="inlineStr">
        <is>
          <t>Decomposition Item</t>
        </is>
      </c>
      <c r="D8" s="20" t="inlineStr">
        <is>
          <t>O</t>
        </is>
      </c>
      <c r="E8" s="20" t="inlineStr">
        <is>
          <t>ML</t>
        </is>
      </c>
      <c r="F8" s="20" t="inlineStr">
        <is>
          <t>P</t>
        </is>
      </c>
      <c r="G8" s="20" t="inlineStr">
        <is>
          <t>O</t>
        </is>
      </c>
      <c r="H8" s="20" t="inlineStr">
        <is>
          <t>ML</t>
        </is>
      </c>
      <c r="I8" s="20" t="inlineStr">
        <is>
          <t>P</t>
        </is>
      </c>
      <c r="J8" s="20" t="inlineStr">
        <is>
          <t>Augmented O</t>
        </is>
      </c>
      <c r="K8" s="20" t="inlineStr">
        <is>
          <t>Augmented ML</t>
        </is>
      </c>
      <c r="L8" s="20" t="inlineStr">
        <is>
          <t>Augmented P</t>
        </is>
      </c>
      <c r="M8" s="20" t="inlineStr">
        <is>
          <t>Augmented O</t>
        </is>
      </c>
      <c r="N8" s="20" t="inlineStr">
        <is>
          <t>Augmented ML</t>
        </is>
      </c>
      <c r="O8" s="20" t="inlineStr">
        <is>
          <t>Augmented P</t>
        </is>
      </c>
      <c r="P8" s="20" t="inlineStr">
        <is>
          <t>Expected BE</t>
        </is>
      </c>
      <c r="Q8" s="20" t="inlineStr">
        <is>
          <t>Expected FE</t>
        </is>
      </c>
      <c r="R8" s="20" t="inlineStr">
        <is>
          <t>StdDev BE</t>
        </is>
      </c>
      <c r="S8" s="20" t="inlineStr">
        <is>
          <t>Variance BE</t>
        </is>
      </c>
      <c r="T8" s="20" t="inlineStr">
        <is>
          <t>StdDev FE</t>
        </is>
      </c>
      <c r="U8" s="20" t="inlineStr">
        <is>
          <t>Variance FE</t>
        </is>
      </c>
      <c r="V8" s="20" t="inlineStr">
        <is>
          <t>Apply Contingency</t>
        </is>
      </c>
      <c r="W8" s="20" t="inlineStr">
        <is>
          <t>Contingency BE</t>
        </is>
      </c>
      <c r="X8" s="20" t="inlineStr">
        <is>
          <t>Contingency FE</t>
        </is>
      </c>
      <c r="Y8" s="20" t="inlineStr">
        <is>
          <t>Include</t>
        </is>
      </c>
      <c r="Z8" s="20" t="inlineStr">
        <is>
          <t>Phase</t>
        </is>
      </c>
      <c r="AA8" s="20" t="inlineStr">
        <is>
          <t>Milestone</t>
        </is>
      </c>
      <c r="AB8" s="20" t="inlineStr">
        <is>
          <t>Assumptions</t>
        </is>
      </c>
      <c r="AC8" s="20" t="inlineStr">
        <is>
          <t>Description / Scope</t>
        </is>
      </c>
      <c r="AD8" s="20" t="inlineStr">
        <is>
          <t>Out of Scope</t>
        </is>
      </c>
      <c r="AE8" s="20" t="inlineStr">
        <is>
          <t>Dependencies</t>
        </is>
      </c>
      <c r="AF8" s="20" t="inlineStr">
        <is>
          <t>Comments</t>
        </is>
      </c>
      <c r="AG8" s="20" t="inlineStr">
        <is>
          <t>Jira / Ticket Link</t>
        </is>
      </c>
    </row>
    <row r="9">
      <c r="A9" s="21" t="inlineStr">
        <is>
          <t>Section</t>
        </is>
      </c>
      <c r="B9" s="21" t="n"/>
      <c r="C9" s="21" t="inlineStr">
        <is>
          <t>Infrastructure &amp; Foundations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>
      <c r="A10" s="12" t="inlineStr">
        <is>
          <t>UserStory</t>
        </is>
      </c>
      <c r="B10" s="12" t="inlineStr">
        <is>
          <t>INF-1.1</t>
        </is>
      </c>
      <c r="C10" s="12" t="inlineStr">
        <is>
          <t>Solution setup (repos, project templates)</t>
        </is>
      </c>
      <c r="D10" s="15" t="n">
        <v>8</v>
      </c>
      <c r="E10" s="15" t="n">
        <v>16</v>
      </c>
      <c r="F10" s="15" t="n">
        <v>32</v>
      </c>
      <c r="G10" s="15" t="n">
        <v>6</v>
      </c>
      <c r="H10" s="15" t="n">
        <v>12</v>
      </c>
      <c r="I10" s="15" t="n">
        <v>20</v>
      </c>
      <c r="J10" s="16">
        <f>D10*(1+RefUnitTest+RefIntegrationTest+RefCodeReview)</f>
        <v/>
      </c>
      <c r="K10" s="16">
        <f>E10*(1+RefUnitTest+RefIntegrationTest+RefCodeReview)</f>
        <v/>
      </c>
      <c r="L10" s="16">
        <f>F10*(1+RefUnitTest+RefIntegrationTest+RefCodeReview)</f>
        <v/>
      </c>
      <c r="M10" s="16">
        <f>G10*(1+RefUnitTest+RefIntegrationTest+RefCodeReview)</f>
        <v/>
      </c>
      <c r="N10" s="16">
        <f>H10*(1+RefUnitTest+RefIntegrationTest+RefCodeReview)</f>
        <v/>
      </c>
      <c r="O10" s="16">
        <f>I10*(1+RefUnitTest+RefIntegrationTest+RefCodeReview)</f>
        <v/>
      </c>
      <c r="P10" s="16">
        <f>(J10+4*K10+L10)/6</f>
        <v/>
      </c>
      <c r="Q10" s="16">
        <f>(M10+4*N10+O10)/6</f>
        <v/>
      </c>
      <c r="R10" s="16">
        <f>(L10-J10)/6</f>
        <v/>
      </c>
      <c r="S10" s="16">
        <f>R10^2</f>
        <v/>
      </c>
      <c r="T10" s="16">
        <f>(O10-M10)/6</f>
        <v/>
      </c>
      <c r="U10" s="16">
        <f>T10^2</f>
        <v/>
      </c>
      <c r="V10" s="15" t="inlineStr">
        <is>
          <t>No</t>
        </is>
      </c>
      <c r="W10" s="15" t="n">
        <v>0</v>
      </c>
      <c r="X10" s="15" t="n">
        <v>0</v>
      </c>
      <c r="Y10" s="15" t="inlineStr">
        <is>
          <t>Included</t>
        </is>
      </c>
      <c r="Z10" s="15" t="inlineStr">
        <is>
          <t>Implementation</t>
        </is>
      </c>
      <c r="AA10" s="15" t="inlineStr">
        <is>
          <t>M1</t>
        </is>
      </c>
      <c r="AB10" s="15" t="n"/>
      <c r="AC10" s="15" t="inlineStr">
        <is>
          <t>Bootstrap repositories, project templates, CI seed</t>
        </is>
      </c>
      <c r="AD10" s="15" t="n"/>
      <c r="AE10" s="15" t="n"/>
      <c r="AF10" s="15" t="n"/>
      <c r="AG10" s="15" t="n"/>
    </row>
    <row r="11">
      <c r="A11" s="12" t="inlineStr">
        <is>
          <t>UserStory</t>
        </is>
      </c>
      <c r="B11" s="12" t="inlineStr">
        <is>
          <t>INF-1.2</t>
        </is>
      </c>
      <c r="C11" s="12" t="inlineStr">
        <is>
          <t>Local infrastructure setup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6">
        <f>D11*(1+RefUnitTest+RefIntegrationTest+RefCodeReview)</f>
        <v/>
      </c>
      <c r="K11" s="16">
        <f>E11*(1+RefUnitTest+RefIntegrationTest+RefCodeReview)</f>
        <v/>
      </c>
      <c r="L11" s="16">
        <f>F11*(1+RefUnitTest+RefIntegrationTest+RefCodeReview)</f>
        <v/>
      </c>
      <c r="M11" s="16">
        <f>G11*(1+RefUnitTest+RefIntegrationTest+RefCodeReview)</f>
        <v/>
      </c>
      <c r="N11" s="16">
        <f>H11*(1+RefUnitTest+RefIntegrationTest+RefCodeReview)</f>
        <v/>
      </c>
      <c r="O11" s="16">
        <f>I11*(1+RefUnitTest+RefIntegrationTest+RefCodeReview)</f>
        <v/>
      </c>
      <c r="P11" s="16">
        <f>(J11+4*K11+L11)/6</f>
        <v/>
      </c>
      <c r="Q11" s="16">
        <f>(M11+4*N11+O11)/6</f>
        <v/>
      </c>
      <c r="R11" s="16">
        <f>(L11-J11)/6</f>
        <v/>
      </c>
      <c r="S11" s="16">
        <f>R11^2</f>
        <v/>
      </c>
      <c r="T11" s="16">
        <f>(O11-M11)/6</f>
        <v/>
      </c>
      <c r="U11" s="16">
        <f>T11^2</f>
        <v/>
      </c>
      <c r="V11" s="15" t="inlineStr">
        <is>
          <t>No</t>
        </is>
      </c>
      <c r="W11" s="15" t="n">
        <v>0</v>
      </c>
      <c r="X11" s="15" t="n">
        <v>0</v>
      </c>
      <c r="Y11" s="15" t="inlineStr">
        <is>
          <t>Not included</t>
        </is>
      </c>
      <c r="Z11" s="15" t="inlineStr">
        <is>
          <t>Implementation</t>
        </is>
      </c>
      <c r="AA11" s="15" t="inlineStr">
        <is>
          <t>M1</t>
        </is>
      </c>
      <c r="AB11" s="15" t="n"/>
      <c r="AC11" s="15" t="n"/>
      <c r="AD11" s="15" t="n"/>
      <c r="AE11" s="15" t="n"/>
      <c r="AF11" s="15" t="inlineStr">
        <is>
          <t>Covered in DevOps tab</t>
        </is>
      </c>
      <c r="AG11" s="15" t="n"/>
    </row>
    <row r="12">
      <c r="A12" s="12" t="inlineStr">
        <is>
          <t>UserStory</t>
        </is>
      </c>
      <c r="B12" s="12" t="inlineStr">
        <is>
          <t>INF-1.3</t>
        </is>
      </c>
      <c r="C12" s="12" t="inlineStr">
        <is>
          <t>CI/CD setup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6">
        <f>D12*(1+RefUnitTest+RefIntegrationTest+RefCodeReview)</f>
        <v/>
      </c>
      <c r="K12" s="16">
        <f>E12*(1+RefUnitTest+RefIntegrationTest+RefCodeReview)</f>
        <v/>
      </c>
      <c r="L12" s="16">
        <f>F12*(1+RefUnitTest+RefIntegrationTest+RefCodeReview)</f>
        <v/>
      </c>
      <c r="M12" s="16">
        <f>G12*(1+RefUnitTest+RefIntegrationTest+RefCodeReview)</f>
        <v/>
      </c>
      <c r="N12" s="16">
        <f>H12*(1+RefUnitTest+RefIntegrationTest+RefCodeReview)</f>
        <v/>
      </c>
      <c r="O12" s="16">
        <f>I12*(1+RefUnitTest+RefIntegrationTest+RefCodeReview)</f>
        <v/>
      </c>
      <c r="P12" s="16">
        <f>(J12+4*K12+L12)/6</f>
        <v/>
      </c>
      <c r="Q12" s="16">
        <f>(M12+4*N12+O12)/6</f>
        <v/>
      </c>
      <c r="R12" s="16">
        <f>(L12-J12)/6</f>
        <v/>
      </c>
      <c r="S12" s="16">
        <f>R12^2</f>
        <v/>
      </c>
      <c r="T12" s="16">
        <f>(O12-M12)/6</f>
        <v/>
      </c>
      <c r="U12" s="16">
        <f>T12^2</f>
        <v/>
      </c>
      <c r="V12" s="15" t="inlineStr">
        <is>
          <t>No</t>
        </is>
      </c>
      <c r="W12" s="15" t="n">
        <v>0</v>
      </c>
      <c r="X12" s="15" t="n">
        <v>0</v>
      </c>
      <c r="Y12" s="15" t="inlineStr">
        <is>
          <t>Not included</t>
        </is>
      </c>
      <c r="Z12" s="15" t="inlineStr">
        <is>
          <t>Implementation</t>
        </is>
      </c>
      <c r="AA12" s="15" t="inlineStr">
        <is>
          <t>M1</t>
        </is>
      </c>
      <c r="AB12" s="15" t="n"/>
      <c r="AC12" s="15" t="n"/>
      <c r="AD12" s="15" t="n"/>
      <c r="AE12" s="15" t="inlineStr">
        <is>
          <t>DevOps</t>
        </is>
      </c>
      <c r="AF12" s="15" t="inlineStr">
        <is>
          <t>Covered in DevOps tab</t>
        </is>
      </c>
      <c r="AG12" s="15" t="n"/>
    </row>
    <row r="13">
      <c r="A13" s="12" t="inlineStr">
        <is>
          <t>UserStory</t>
        </is>
      </c>
      <c r="B13" s="12" t="inlineStr">
        <is>
          <t>INF-1.4</t>
        </is>
      </c>
      <c r="C13" s="12" t="inlineStr">
        <is>
          <t>Static code analysis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6">
        <f>D13*(1+RefUnitTest+RefIntegrationTest+RefCodeReview)</f>
        <v/>
      </c>
      <c r="K13" s="16">
        <f>E13*(1+RefUnitTest+RefIntegrationTest+RefCodeReview)</f>
        <v/>
      </c>
      <c r="L13" s="16">
        <f>F13*(1+RefUnitTest+RefIntegrationTest+RefCodeReview)</f>
        <v/>
      </c>
      <c r="M13" s="16">
        <f>G13*(1+RefUnitTest+RefIntegrationTest+RefCodeReview)</f>
        <v/>
      </c>
      <c r="N13" s="16">
        <f>H13*(1+RefUnitTest+RefIntegrationTest+RefCodeReview)</f>
        <v/>
      </c>
      <c r="O13" s="16">
        <f>I13*(1+RefUnitTest+RefIntegrationTest+RefCodeReview)</f>
        <v/>
      </c>
      <c r="P13" s="16">
        <f>(J13+4*K13+L13)/6</f>
        <v/>
      </c>
      <c r="Q13" s="16">
        <f>(M13+4*N13+O13)/6</f>
        <v/>
      </c>
      <c r="R13" s="16">
        <f>(L13-J13)/6</f>
        <v/>
      </c>
      <c r="S13" s="16">
        <f>R13^2</f>
        <v/>
      </c>
      <c r="T13" s="16">
        <f>(O13-M13)/6</f>
        <v/>
      </c>
      <c r="U13" s="16">
        <f>T13^2</f>
        <v/>
      </c>
      <c r="V13" s="15" t="inlineStr">
        <is>
          <t>No</t>
        </is>
      </c>
      <c r="W13" s="15" t="n">
        <v>0</v>
      </c>
      <c r="X13" s="15" t="n">
        <v>0</v>
      </c>
      <c r="Y13" s="15" t="inlineStr">
        <is>
          <t>Not included</t>
        </is>
      </c>
      <c r="Z13" s="15" t="inlineStr">
        <is>
          <t>Implementation</t>
        </is>
      </c>
      <c r="AA13" s="15" t="inlineStr">
        <is>
          <t>M1</t>
        </is>
      </c>
      <c r="AB13" s="15" t="n"/>
      <c r="AC13" s="15" t="n"/>
      <c r="AD13" s="15" t="n"/>
      <c r="AE13" s="15" t="n"/>
      <c r="AF13" s="15" t="inlineStr">
        <is>
          <t>Covered in DevOps tab</t>
        </is>
      </c>
      <c r="AG13" s="15" t="n"/>
    </row>
    <row r="14">
      <c r="A14" s="21" t="inlineStr">
        <is>
          <t>Section</t>
        </is>
      </c>
      <c r="B14" s="21" t="n"/>
      <c r="C14" s="21" t="inlineStr">
        <is>
          <t>Product Scope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>
      <c r="A15" s="22" t="inlineStr">
        <is>
          <t>Epic</t>
        </is>
      </c>
      <c r="B15" s="22" t="inlineStr">
        <is>
          <t>E-1</t>
        </is>
      </c>
      <c r="C15" s="22" t="inlineStr">
        <is>
          <t>Authorization</t>
        </is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</row>
    <row r="16">
      <c r="A16" s="12" t="inlineStr">
        <is>
          <t>UserStory</t>
        </is>
      </c>
      <c r="B16" s="12" t="inlineStr">
        <is>
          <t>US-1.1</t>
        </is>
      </c>
      <c r="C16" s="12" t="inlineStr">
        <is>
          <t>Onboarding</t>
        </is>
      </c>
      <c r="D16" s="15" t="n">
        <v>0</v>
      </c>
      <c r="E16" s="15" t="n">
        <v>0</v>
      </c>
      <c r="F16" s="15" t="n">
        <v>0</v>
      </c>
      <c r="G16" s="15" t="n">
        <v>2</v>
      </c>
      <c r="H16" s="15" t="n">
        <v>8</v>
      </c>
      <c r="I16" s="15" t="n">
        <v>16</v>
      </c>
      <c r="J16" s="16">
        <f>D16*(1+RefUnitTest+RefIntegrationTest+RefCodeReview)</f>
        <v/>
      </c>
      <c r="K16" s="16">
        <f>E16*(1+RefUnitTest+RefIntegrationTest+RefCodeReview)</f>
        <v/>
      </c>
      <c r="L16" s="16">
        <f>F16*(1+RefUnitTest+RefIntegrationTest+RefCodeReview)</f>
        <v/>
      </c>
      <c r="M16" s="16">
        <f>G16*(1+RefUnitTest+RefIntegrationTest+RefCodeReview)</f>
        <v/>
      </c>
      <c r="N16" s="16">
        <f>H16*(1+RefUnitTest+RefIntegrationTest+RefCodeReview)</f>
        <v/>
      </c>
      <c r="O16" s="16">
        <f>I16*(1+RefUnitTest+RefIntegrationTest+RefCodeReview)</f>
        <v/>
      </c>
      <c r="P16" s="16">
        <f>(J16+4*K16+L16)/6</f>
        <v/>
      </c>
      <c r="Q16" s="16">
        <f>(M16+4*N16+O16)/6</f>
        <v/>
      </c>
      <c r="R16" s="16">
        <f>(L16-J16)/6</f>
        <v/>
      </c>
      <c r="S16" s="16">
        <f>R16^2</f>
        <v/>
      </c>
      <c r="T16" s="16">
        <f>(O16-M16)/6</f>
        <v/>
      </c>
      <c r="U16" s="16">
        <f>T16^2</f>
        <v/>
      </c>
      <c r="V16" s="15" t="inlineStr">
        <is>
          <t>No</t>
        </is>
      </c>
      <c r="W16" s="15" t="n">
        <v>0</v>
      </c>
      <c r="X16" s="15" t="n">
        <v>0</v>
      </c>
      <c r="Y16" s="15" t="inlineStr">
        <is>
          <t>Included</t>
        </is>
      </c>
      <c r="Z16" s="15" t="inlineStr">
        <is>
          <t>Implementation</t>
        </is>
      </c>
      <c r="AA16" s="15" t="inlineStr">
        <is>
          <t>M1</t>
        </is>
      </c>
      <c r="AB16" s="15" t="n"/>
      <c r="AC16" s="15" t="n"/>
      <c r="AD16" s="15" t="n"/>
      <c r="AE16" s="15" t="n"/>
      <c r="AF16" s="15" t="n"/>
      <c r="AG16" s="15" t="n"/>
    </row>
    <row r="17">
      <c r="A17" s="12" t="inlineStr">
        <is>
          <t>UserStory</t>
        </is>
      </c>
      <c r="B17" s="12" t="inlineStr">
        <is>
          <t>US-1.2</t>
        </is>
      </c>
      <c r="C17" s="12" t="inlineStr">
        <is>
          <t>Accept Terms of Use</t>
        </is>
      </c>
      <c r="D17" s="15" t="n">
        <v>0</v>
      </c>
      <c r="E17" s="15" t="n">
        <v>0</v>
      </c>
      <c r="F17" s="15" t="n">
        <v>0</v>
      </c>
      <c r="G17" s="15" t="n">
        <v>1</v>
      </c>
      <c r="H17" s="15" t="n">
        <v>3</v>
      </c>
      <c r="I17" s="15" t="n">
        <v>4</v>
      </c>
      <c r="J17" s="16">
        <f>D17*(1+RefUnitTest+RefIntegrationTest+RefCodeReview)</f>
        <v/>
      </c>
      <c r="K17" s="16">
        <f>E17*(1+RefUnitTest+RefIntegrationTest+RefCodeReview)</f>
        <v/>
      </c>
      <c r="L17" s="16">
        <f>F17*(1+RefUnitTest+RefIntegrationTest+RefCodeReview)</f>
        <v/>
      </c>
      <c r="M17" s="16">
        <f>G17*(1+RefUnitTest+RefIntegrationTest+RefCodeReview)</f>
        <v/>
      </c>
      <c r="N17" s="16">
        <f>H17*(1+RefUnitTest+RefIntegrationTest+RefCodeReview)</f>
        <v/>
      </c>
      <c r="O17" s="16">
        <f>I17*(1+RefUnitTest+RefIntegrationTest+RefCodeReview)</f>
        <v/>
      </c>
      <c r="P17" s="16">
        <f>(J17+4*K17+L17)/6</f>
        <v/>
      </c>
      <c r="Q17" s="16">
        <f>(M17+4*N17+O17)/6</f>
        <v/>
      </c>
      <c r="R17" s="16">
        <f>(L17-J17)/6</f>
        <v/>
      </c>
      <c r="S17" s="16">
        <f>R17^2</f>
        <v/>
      </c>
      <c r="T17" s="16">
        <f>(O17-M17)/6</f>
        <v/>
      </c>
      <c r="U17" s="16">
        <f>T17^2</f>
        <v/>
      </c>
      <c r="V17" s="15" t="inlineStr">
        <is>
          <t>No</t>
        </is>
      </c>
      <c r="W17" s="15" t="n">
        <v>0</v>
      </c>
      <c r="X17" s="15" t="n">
        <v>0</v>
      </c>
      <c r="Y17" s="15" t="inlineStr">
        <is>
          <t>Included</t>
        </is>
      </c>
      <c r="Z17" s="15" t="inlineStr">
        <is>
          <t>Implementation</t>
        </is>
      </c>
      <c r="AA17" s="15" t="inlineStr">
        <is>
          <t>M1</t>
        </is>
      </c>
      <c r="AB17" s="15" t="n"/>
      <c r="AC17" s="15" t="n"/>
      <c r="AD17" s="15" t="n"/>
      <c r="AE17" s="15" t="n"/>
      <c r="AF17" s="15" t="n"/>
      <c r="AG17" s="15" t="n"/>
    </row>
    <row r="18">
      <c r="A18" s="12" t="inlineStr">
        <is>
          <t>UserStory</t>
        </is>
      </c>
      <c r="B18" s="12" t="inlineStr">
        <is>
          <t>US-1.3</t>
        </is>
      </c>
      <c r="C18" s="12" t="inlineStr">
        <is>
          <t>Sign Up (email/phone/SSO)</t>
        </is>
      </c>
      <c r="D18" s="15" t="n">
        <v>16</v>
      </c>
      <c r="E18" s="15" t="n">
        <v>24</v>
      </c>
      <c r="F18" s="15" t="n">
        <v>32</v>
      </c>
      <c r="G18" s="15" t="n">
        <v>16</v>
      </c>
      <c r="H18" s="15" t="n">
        <v>24</v>
      </c>
      <c r="I18" s="15" t="n">
        <v>32</v>
      </c>
      <c r="J18" s="16">
        <f>D18*(1+RefUnitTest+RefIntegrationTest+RefCodeReview)</f>
        <v/>
      </c>
      <c r="K18" s="16">
        <f>E18*(1+RefUnitTest+RefIntegrationTest+RefCodeReview)</f>
        <v/>
      </c>
      <c r="L18" s="16">
        <f>F18*(1+RefUnitTest+RefIntegrationTest+RefCodeReview)</f>
        <v/>
      </c>
      <c r="M18" s="16">
        <f>G18*(1+RefUnitTest+RefIntegrationTest+RefCodeReview)</f>
        <v/>
      </c>
      <c r="N18" s="16">
        <f>H18*(1+RefUnitTest+RefIntegrationTest+RefCodeReview)</f>
        <v/>
      </c>
      <c r="O18" s="16">
        <f>I18*(1+RefUnitTest+RefIntegrationTest+RefCodeReview)</f>
        <v/>
      </c>
      <c r="P18" s="16">
        <f>(J18+4*K18+L18)/6</f>
        <v/>
      </c>
      <c r="Q18" s="16">
        <f>(M18+4*N18+O18)/6</f>
        <v/>
      </c>
      <c r="R18" s="16">
        <f>(L18-J18)/6</f>
        <v/>
      </c>
      <c r="S18" s="16">
        <f>R18^2</f>
        <v/>
      </c>
      <c r="T18" s="16">
        <f>(O18-M18)/6</f>
        <v/>
      </c>
      <c r="U18" s="16">
        <f>T18^2</f>
        <v/>
      </c>
      <c r="V18" s="15" t="inlineStr">
        <is>
          <t>No</t>
        </is>
      </c>
      <c r="W18" s="15" t="n">
        <v>0</v>
      </c>
      <c r="X18" s="15" t="n">
        <v>0</v>
      </c>
      <c r="Y18" s="15" t="inlineStr">
        <is>
          <t>Included</t>
        </is>
      </c>
      <c r="Z18" s="15" t="inlineStr">
        <is>
          <t>Implementation</t>
        </is>
      </c>
      <c r="AA18" s="15" t="inlineStr">
        <is>
          <t>M1</t>
        </is>
      </c>
      <c r="AB18" s="15" t="inlineStr">
        <is>
          <t>Google/Microsoft/Apple SSO</t>
        </is>
      </c>
      <c r="AC18" s="15" t="n"/>
      <c r="AD18" s="15" t="n"/>
      <c r="AE18" s="15" t="n"/>
      <c r="AF18" s="15" t="n"/>
      <c r="AG18" s="15" t="n"/>
    </row>
    <row r="19">
      <c r="A19" s="12" t="inlineStr">
        <is>
          <t>UserStory</t>
        </is>
      </c>
      <c r="B19" s="12" t="inlineStr">
        <is>
          <t>US-1.4</t>
        </is>
      </c>
      <c r="C19" s="12" t="inlineStr">
        <is>
          <t>Login</t>
        </is>
      </c>
      <c r="D19" s="15" t="n">
        <v>8</v>
      </c>
      <c r="E19" s="15" t="n">
        <v>16</v>
      </c>
      <c r="F19" s="15" t="n">
        <v>24</v>
      </c>
      <c r="G19" s="15" t="n">
        <v>8</v>
      </c>
      <c r="H19" s="15" t="n">
        <v>16</v>
      </c>
      <c r="I19" s="15" t="n">
        <v>24</v>
      </c>
      <c r="J19" s="16">
        <f>D19*(1+RefUnitTest+RefIntegrationTest+RefCodeReview)</f>
        <v/>
      </c>
      <c r="K19" s="16">
        <f>E19*(1+RefUnitTest+RefIntegrationTest+RefCodeReview)</f>
        <v/>
      </c>
      <c r="L19" s="16">
        <f>F19*(1+RefUnitTest+RefIntegrationTest+RefCodeReview)</f>
        <v/>
      </c>
      <c r="M19" s="16">
        <f>G19*(1+RefUnitTest+RefIntegrationTest+RefCodeReview)</f>
        <v/>
      </c>
      <c r="N19" s="16">
        <f>H19*(1+RefUnitTest+RefIntegrationTest+RefCodeReview)</f>
        <v/>
      </c>
      <c r="O19" s="16">
        <f>I19*(1+RefUnitTest+RefIntegrationTest+RefCodeReview)</f>
        <v/>
      </c>
      <c r="P19" s="16">
        <f>(J19+4*K19+L19)/6</f>
        <v/>
      </c>
      <c r="Q19" s="16">
        <f>(M19+4*N19+O19)/6</f>
        <v/>
      </c>
      <c r="R19" s="16">
        <f>(L19-J19)/6</f>
        <v/>
      </c>
      <c r="S19" s="16">
        <f>R19^2</f>
        <v/>
      </c>
      <c r="T19" s="16">
        <f>(O19-M19)/6</f>
        <v/>
      </c>
      <c r="U19" s="16">
        <f>T19^2</f>
        <v/>
      </c>
      <c r="V19" s="15" t="inlineStr">
        <is>
          <t>No</t>
        </is>
      </c>
      <c r="W19" s="15" t="n">
        <v>0</v>
      </c>
      <c r="X19" s="15" t="n">
        <v>0</v>
      </c>
      <c r="Y19" s="15" t="inlineStr">
        <is>
          <t>Included</t>
        </is>
      </c>
      <c r="Z19" s="15" t="inlineStr">
        <is>
          <t>Implementation</t>
        </is>
      </c>
      <c r="AA19" s="15" t="inlineStr">
        <is>
          <t>M1</t>
        </is>
      </c>
      <c r="AB19" s="15" t="n"/>
      <c r="AC19" s="15" t="n"/>
      <c r="AD19" s="15" t="n"/>
      <c r="AE19" s="15" t="n"/>
      <c r="AF19" s="15" t="n"/>
      <c r="AG19" s="15" t="n"/>
    </row>
    <row r="20">
      <c r="A20" s="12" t="inlineStr">
        <is>
          <t>UserStory</t>
        </is>
      </c>
      <c r="B20" s="12" t="inlineStr">
        <is>
          <t>US-1.5</t>
        </is>
      </c>
      <c r="C20" s="12" t="inlineStr">
        <is>
          <t>Reset password</t>
        </is>
      </c>
      <c r="D20" s="15" t="n">
        <v>8</v>
      </c>
      <c r="E20" s="15" t="n">
        <v>16</v>
      </c>
      <c r="F20" s="15" t="n">
        <v>24</v>
      </c>
      <c r="G20" s="15" t="n">
        <v>4</v>
      </c>
      <c r="H20" s="15" t="n">
        <v>8</v>
      </c>
      <c r="I20" s="15" t="n">
        <v>16</v>
      </c>
      <c r="J20" s="16">
        <f>D20*(1+RefUnitTest+RefIntegrationTest+RefCodeReview)</f>
        <v/>
      </c>
      <c r="K20" s="16">
        <f>E20*(1+RefUnitTest+RefIntegrationTest+RefCodeReview)</f>
        <v/>
      </c>
      <c r="L20" s="16">
        <f>F20*(1+RefUnitTest+RefIntegrationTest+RefCodeReview)</f>
        <v/>
      </c>
      <c r="M20" s="16">
        <f>G20*(1+RefUnitTest+RefIntegrationTest+RefCodeReview)</f>
        <v/>
      </c>
      <c r="N20" s="16">
        <f>H20*(1+RefUnitTest+RefIntegrationTest+RefCodeReview)</f>
        <v/>
      </c>
      <c r="O20" s="16">
        <f>I20*(1+RefUnitTest+RefIntegrationTest+RefCodeReview)</f>
        <v/>
      </c>
      <c r="P20" s="16">
        <f>(J20+4*K20+L20)/6</f>
        <v/>
      </c>
      <c r="Q20" s="16">
        <f>(M20+4*N20+O20)/6</f>
        <v/>
      </c>
      <c r="R20" s="16">
        <f>(L20-J20)/6</f>
        <v/>
      </c>
      <c r="S20" s="16">
        <f>R20^2</f>
        <v/>
      </c>
      <c r="T20" s="16">
        <f>(O20-M20)/6</f>
        <v/>
      </c>
      <c r="U20" s="16">
        <f>T20^2</f>
        <v/>
      </c>
      <c r="V20" s="15" t="inlineStr">
        <is>
          <t>No</t>
        </is>
      </c>
      <c r="W20" s="15" t="n">
        <v>0</v>
      </c>
      <c r="X20" s="15" t="n">
        <v>0</v>
      </c>
      <c r="Y20" s="15" t="inlineStr">
        <is>
          <t>Included</t>
        </is>
      </c>
      <c r="Z20" s="15" t="inlineStr">
        <is>
          <t>Implementation</t>
        </is>
      </c>
      <c r="AA20" s="15" t="inlineStr">
        <is>
          <t>M1</t>
        </is>
      </c>
      <c r="AB20" s="15" t="n"/>
      <c r="AC20" s="15" t="n"/>
      <c r="AD20" s="15" t="n"/>
      <c r="AE20" s="15" t="n"/>
      <c r="AF20" s="15" t="n"/>
      <c r="AG20" s="15" t="n"/>
    </row>
    <row r="21" ht="15.75" customHeight="1" s="27">
      <c r="A21" s="12" t="inlineStr">
        <is>
          <t>UserStory</t>
        </is>
      </c>
      <c r="B21" s="12" t="inlineStr">
        <is>
          <t>US-1.6</t>
        </is>
      </c>
      <c r="C21" s="12" t="inlineStr">
        <is>
          <t>Logout</t>
        </is>
      </c>
      <c r="D21" s="15" t="n">
        <v>2</v>
      </c>
      <c r="E21" s="15" t="n">
        <v>4</v>
      </c>
      <c r="F21" s="15" t="n">
        <v>8</v>
      </c>
      <c r="G21" s="15" t="n">
        <v>2</v>
      </c>
      <c r="H21" s="15" t="n">
        <v>4</v>
      </c>
      <c r="I21" s="15" t="n">
        <v>8</v>
      </c>
      <c r="J21" s="16">
        <f>D21*(1+RefUnitTest+RefIntegrationTest+RefCodeReview)</f>
        <v/>
      </c>
      <c r="K21" s="16">
        <f>E21*(1+RefUnitTest+RefIntegrationTest+RefCodeReview)</f>
        <v/>
      </c>
      <c r="L21" s="16">
        <f>F21*(1+RefUnitTest+RefIntegrationTest+RefCodeReview)</f>
        <v/>
      </c>
      <c r="M21" s="16">
        <f>G21*(1+RefUnitTest+RefIntegrationTest+RefCodeReview)</f>
        <v/>
      </c>
      <c r="N21" s="16">
        <f>H21*(1+RefUnitTest+RefIntegrationTest+RefCodeReview)</f>
        <v/>
      </c>
      <c r="O21" s="16">
        <f>I21*(1+RefUnitTest+RefIntegrationTest+RefCodeReview)</f>
        <v/>
      </c>
      <c r="P21" s="16">
        <f>(J21+4*K21+L21)/6</f>
        <v/>
      </c>
      <c r="Q21" s="16">
        <f>(M21+4*N21+O21)/6</f>
        <v/>
      </c>
      <c r="R21" s="16">
        <f>(L21-J21)/6</f>
        <v/>
      </c>
      <c r="S21" s="16">
        <f>R21^2</f>
        <v/>
      </c>
      <c r="T21" s="16">
        <f>(O21-M21)/6</f>
        <v/>
      </c>
      <c r="U21" s="16">
        <f>T21^2</f>
        <v/>
      </c>
      <c r="V21" s="15" t="inlineStr">
        <is>
          <t>No</t>
        </is>
      </c>
      <c r="W21" s="15" t="n">
        <v>0</v>
      </c>
      <c r="X21" s="15" t="n">
        <v>0</v>
      </c>
      <c r="Y21" s="15" t="inlineStr">
        <is>
          <t>Included</t>
        </is>
      </c>
      <c r="Z21" s="15" t="inlineStr">
        <is>
          <t>Implementation</t>
        </is>
      </c>
      <c r="AA21" s="15" t="inlineStr">
        <is>
          <t>M1</t>
        </is>
      </c>
      <c r="AB21" s="15" t="n"/>
      <c r="AC21" s="15" t="n"/>
      <c r="AD21" s="15" t="n"/>
      <c r="AE21" s="15" t="n"/>
      <c r="AF21" s="15" t="n"/>
      <c r="AG21" s="15" t="n"/>
    </row>
    <row r="22" ht="15.75" customHeight="1" s="27">
      <c r="A22" s="12" t="inlineStr">
        <is>
          <t>UserStory</t>
        </is>
      </c>
      <c r="B22" s="12" t="inlineStr">
        <is>
          <t>US-1.7</t>
        </is>
      </c>
      <c r="C22" s="12" t="inlineStr">
        <is>
          <t>2FA setup</t>
        </is>
      </c>
      <c r="D22" s="15" t="n">
        <v>16</v>
      </c>
      <c r="E22" s="15" t="n">
        <v>32</v>
      </c>
      <c r="F22" s="15" t="n">
        <v>48</v>
      </c>
      <c r="G22" s="15" t="n">
        <v>8</v>
      </c>
      <c r="H22" s="15" t="n">
        <v>16</v>
      </c>
      <c r="I22" s="15" t="n">
        <v>24</v>
      </c>
      <c r="J22" s="16">
        <f>D22*(1+RefUnitTest+RefIntegrationTest+RefCodeReview)</f>
        <v/>
      </c>
      <c r="K22" s="16">
        <f>E22*(1+RefUnitTest+RefIntegrationTest+RefCodeReview)</f>
        <v/>
      </c>
      <c r="L22" s="16">
        <f>F22*(1+RefUnitTest+RefIntegrationTest+RefCodeReview)</f>
        <v/>
      </c>
      <c r="M22" s="16">
        <f>G22*(1+RefUnitTest+RefIntegrationTest+RefCodeReview)</f>
        <v/>
      </c>
      <c r="N22" s="16">
        <f>H22*(1+RefUnitTest+RefIntegrationTest+RefCodeReview)</f>
        <v/>
      </c>
      <c r="O22" s="16">
        <f>I22*(1+RefUnitTest+RefIntegrationTest+RefCodeReview)</f>
        <v/>
      </c>
      <c r="P22" s="16">
        <f>(J22+4*K22+L22)/6</f>
        <v/>
      </c>
      <c r="Q22" s="16">
        <f>(M22+4*N22+O22)/6</f>
        <v/>
      </c>
      <c r="R22" s="16">
        <f>(L22-J22)/6</f>
        <v/>
      </c>
      <c r="S22" s="16">
        <f>R22^2</f>
        <v/>
      </c>
      <c r="T22" s="16">
        <f>(O22-M22)/6</f>
        <v/>
      </c>
      <c r="U22" s="16">
        <f>T22^2</f>
        <v/>
      </c>
      <c r="V22" s="15" t="inlineStr">
        <is>
          <t>No</t>
        </is>
      </c>
      <c r="W22" s="15" t="n">
        <v>0</v>
      </c>
      <c r="X22" s="15" t="n">
        <v>0</v>
      </c>
      <c r="Y22" s="15" t="inlineStr">
        <is>
          <t>Included</t>
        </is>
      </c>
      <c r="Z22" s="15" t="inlineStr">
        <is>
          <t>Implementation</t>
        </is>
      </c>
      <c r="AA22" s="15" t="inlineStr">
        <is>
          <t>M2</t>
        </is>
      </c>
      <c r="AB22" s="15" t="inlineStr">
        <is>
          <t>TOTP via authenticator + SMS fallback</t>
        </is>
      </c>
      <c r="AC22" s="15" t="n"/>
      <c r="AD22" s="15" t="n"/>
      <c r="AE22" s="15" t="n"/>
      <c r="AF22" s="15" t="n"/>
      <c r="AG22" s="15" t="n"/>
    </row>
    <row r="23" ht="15.75" customHeight="1" s="27">
      <c r="A23" s="22" t="inlineStr">
        <is>
          <t>Epic</t>
        </is>
      </c>
      <c r="B23" s="22" t="inlineStr">
        <is>
          <t>E-2</t>
        </is>
      </c>
      <c r="C23" s="22" t="inlineStr">
        <is>
          <t>Profile Management</t>
        </is>
      </c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</row>
    <row r="24" ht="15.75" customHeight="1" s="27">
      <c r="A24" s="12" t="inlineStr">
        <is>
          <t>UserStory</t>
        </is>
      </c>
      <c r="B24" s="12" t="inlineStr">
        <is>
          <t>US-2.1</t>
        </is>
      </c>
      <c r="C24" s="12" t="inlineStr">
        <is>
          <t>View profile info</t>
        </is>
      </c>
      <c r="D24" s="15" t="n">
        <v>4</v>
      </c>
      <c r="E24" s="15" t="n">
        <v>8</v>
      </c>
      <c r="F24" s="15" t="n">
        <v>16</v>
      </c>
      <c r="G24" s="15" t="n">
        <v>4</v>
      </c>
      <c r="H24" s="15" t="n">
        <v>8</v>
      </c>
      <c r="I24" s="15" t="n">
        <v>12</v>
      </c>
      <c r="J24" s="16">
        <f>D24*(1+RefUnitTest+RefIntegrationTest+RefCodeReview)</f>
        <v/>
      </c>
      <c r="K24" s="16">
        <f>E24*(1+RefUnitTest+RefIntegrationTest+RefCodeReview)</f>
        <v/>
      </c>
      <c r="L24" s="16">
        <f>F24*(1+RefUnitTest+RefIntegrationTest+RefCodeReview)</f>
        <v/>
      </c>
      <c r="M24" s="16">
        <f>G24*(1+RefUnitTest+RefIntegrationTest+RefCodeReview)</f>
        <v/>
      </c>
      <c r="N24" s="16">
        <f>H24*(1+RefUnitTest+RefIntegrationTest+RefCodeReview)</f>
        <v/>
      </c>
      <c r="O24" s="16">
        <f>I24*(1+RefUnitTest+RefIntegrationTest+RefCodeReview)</f>
        <v/>
      </c>
      <c r="P24" s="16">
        <f>(J24+4*K24+L24)/6</f>
        <v/>
      </c>
      <c r="Q24" s="16">
        <f>(M24+4*N24+O24)/6</f>
        <v/>
      </c>
      <c r="R24" s="16">
        <f>(L24-J24)/6</f>
        <v/>
      </c>
      <c r="S24" s="16">
        <f>R24^2</f>
        <v/>
      </c>
      <c r="T24" s="16">
        <f>(O24-M24)/6</f>
        <v/>
      </c>
      <c r="U24" s="16">
        <f>T24^2</f>
        <v/>
      </c>
      <c r="V24" s="15" t="inlineStr">
        <is>
          <t>No</t>
        </is>
      </c>
      <c r="W24" s="15" t="n">
        <v>0</v>
      </c>
      <c r="X24" s="15" t="n">
        <v>0</v>
      </c>
      <c r="Y24" s="15" t="inlineStr">
        <is>
          <t>Included</t>
        </is>
      </c>
      <c r="Z24" s="15" t="inlineStr">
        <is>
          <t>Implementation</t>
        </is>
      </c>
      <c r="AA24" s="15" t="inlineStr">
        <is>
          <t>M1</t>
        </is>
      </c>
      <c r="AB24" s="15" t="n"/>
      <c r="AC24" s="15" t="n"/>
      <c r="AD24" s="15" t="n"/>
      <c r="AE24" s="15" t="n"/>
      <c r="AF24" s="15" t="n"/>
      <c r="AG24" s="15" t="n"/>
    </row>
    <row r="25" ht="15.75" customHeight="1" s="27">
      <c r="A25" s="12" t="inlineStr">
        <is>
          <t>UserStory</t>
        </is>
      </c>
      <c r="B25" s="12" t="inlineStr">
        <is>
          <t>US-2.2</t>
        </is>
      </c>
      <c r="C25" s="12" t="inlineStr">
        <is>
          <t>Edit personal details</t>
        </is>
      </c>
      <c r="D25" s="15" t="n">
        <v>8</v>
      </c>
      <c r="E25" s="15" t="n">
        <v>16</v>
      </c>
      <c r="F25" s="15" t="n">
        <v>24</v>
      </c>
      <c r="G25" s="15" t="n">
        <v>12</v>
      </c>
      <c r="H25" s="15" t="n">
        <v>20</v>
      </c>
      <c r="I25" s="15" t="n">
        <v>32</v>
      </c>
      <c r="J25" s="16">
        <f>D25*(1+RefUnitTest+RefIntegrationTest+RefCodeReview)</f>
        <v/>
      </c>
      <c r="K25" s="16">
        <f>E25*(1+RefUnitTest+RefIntegrationTest+RefCodeReview)</f>
        <v/>
      </c>
      <c r="L25" s="16">
        <f>F25*(1+RefUnitTest+RefIntegrationTest+RefCodeReview)</f>
        <v/>
      </c>
      <c r="M25" s="16">
        <f>G25*(1+RefUnitTest+RefIntegrationTest+RefCodeReview)</f>
        <v/>
      </c>
      <c r="N25" s="16">
        <f>H25*(1+RefUnitTest+RefIntegrationTest+RefCodeReview)</f>
        <v/>
      </c>
      <c r="O25" s="16">
        <f>I25*(1+RefUnitTest+RefIntegrationTest+RefCodeReview)</f>
        <v/>
      </c>
      <c r="P25" s="16">
        <f>(J25+4*K25+L25)/6</f>
        <v/>
      </c>
      <c r="Q25" s="16">
        <f>(M25+4*N25+O25)/6</f>
        <v/>
      </c>
      <c r="R25" s="16">
        <f>(L25-J25)/6</f>
        <v/>
      </c>
      <c r="S25" s="16">
        <f>R25^2</f>
        <v/>
      </c>
      <c r="T25" s="16">
        <f>(O25-M25)/6</f>
        <v/>
      </c>
      <c r="U25" s="16">
        <f>T25^2</f>
        <v/>
      </c>
      <c r="V25" s="15" t="inlineStr">
        <is>
          <t>No</t>
        </is>
      </c>
      <c r="W25" s="15" t="n">
        <v>0</v>
      </c>
      <c r="X25" s="15" t="n">
        <v>0</v>
      </c>
      <c r="Y25" s="15" t="inlineStr">
        <is>
          <t>Included</t>
        </is>
      </c>
      <c r="Z25" s="15" t="inlineStr">
        <is>
          <t>Implementation</t>
        </is>
      </c>
      <c r="AA25" s="15" t="inlineStr">
        <is>
          <t>M1</t>
        </is>
      </c>
      <c r="AB25" s="15" t="n"/>
      <c r="AC25" s="15" t="n"/>
      <c r="AD25" s="15" t="n"/>
      <c r="AE25" s="15" t="n"/>
      <c r="AF25" s="15" t="n"/>
      <c r="AG25" s="15" t="n"/>
    </row>
    <row r="26" ht="15.75" customHeight="1" s="27">
      <c r="A26" s="12" t="inlineStr">
        <is>
          <t>UserStory</t>
        </is>
      </c>
      <c r="B26" s="12" t="inlineStr">
        <is>
          <t>US-2.3</t>
        </is>
      </c>
      <c r="C26" s="12" t="inlineStr">
        <is>
          <t>Change password</t>
        </is>
      </c>
      <c r="D26" s="15" t="n">
        <v>4</v>
      </c>
      <c r="E26" s="15" t="n">
        <v>8</v>
      </c>
      <c r="F26" s="15" t="n">
        <v>16</v>
      </c>
      <c r="G26" s="15" t="n">
        <v>4</v>
      </c>
      <c r="H26" s="15" t="n">
        <v>8</v>
      </c>
      <c r="I26" s="15" t="n">
        <v>12</v>
      </c>
      <c r="J26" s="16">
        <f>D26*(1+RefUnitTest+RefIntegrationTest+RefCodeReview)</f>
        <v/>
      </c>
      <c r="K26" s="16">
        <f>E26*(1+RefUnitTest+RefIntegrationTest+RefCodeReview)</f>
        <v/>
      </c>
      <c r="L26" s="16">
        <f>F26*(1+RefUnitTest+RefIntegrationTest+RefCodeReview)</f>
        <v/>
      </c>
      <c r="M26" s="16">
        <f>G26*(1+RefUnitTest+RefIntegrationTest+RefCodeReview)</f>
        <v/>
      </c>
      <c r="N26" s="16">
        <f>H26*(1+RefUnitTest+RefIntegrationTest+RefCodeReview)</f>
        <v/>
      </c>
      <c r="O26" s="16">
        <f>I26*(1+RefUnitTest+RefIntegrationTest+RefCodeReview)</f>
        <v/>
      </c>
      <c r="P26" s="16">
        <f>(J26+4*K26+L26)/6</f>
        <v/>
      </c>
      <c r="Q26" s="16">
        <f>(M26+4*N26+O26)/6</f>
        <v/>
      </c>
      <c r="R26" s="16">
        <f>(L26-J26)/6</f>
        <v/>
      </c>
      <c r="S26" s="16">
        <f>R26^2</f>
        <v/>
      </c>
      <c r="T26" s="16">
        <f>(O26-M26)/6</f>
        <v/>
      </c>
      <c r="U26" s="16">
        <f>T26^2</f>
        <v/>
      </c>
      <c r="V26" s="15" t="inlineStr">
        <is>
          <t>No</t>
        </is>
      </c>
      <c r="W26" s="15" t="n">
        <v>0</v>
      </c>
      <c r="X26" s="15" t="n">
        <v>0</v>
      </c>
      <c r="Y26" s="15" t="inlineStr">
        <is>
          <t>Included</t>
        </is>
      </c>
      <c r="Z26" s="15" t="inlineStr">
        <is>
          <t>Implementation</t>
        </is>
      </c>
      <c r="AA26" s="15" t="inlineStr">
        <is>
          <t>M1</t>
        </is>
      </c>
      <c r="AB26" s="15" t="n"/>
      <c r="AC26" s="15" t="n"/>
      <c r="AD26" s="15" t="n"/>
      <c r="AE26" s="15" t="n"/>
      <c r="AF26" s="15" t="n"/>
      <c r="AG26" s="15" t="n"/>
    </row>
    <row r="27" ht="15.75" customHeight="1" s="27">
      <c r="A27" s="12" t="inlineStr">
        <is>
          <t>UserStory</t>
        </is>
      </c>
      <c r="B27" s="12" t="inlineStr">
        <is>
          <t>US-2.4</t>
        </is>
      </c>
      <c r="C27" s="12" t="inlineStr">
        <is>
          <t>Manage notification preferences</t>
        </is>
      </c>
      <c r="D27" s="15" t="n">
        <v>8</v>
      </c>
      <c r="E27" s="15" t="n">
        <v>16</v>
      </c>
      <c r="F27" s="15" t="n">
        <v>24</v>
      </c>
      <c r="G27" s="15" t="n">
        <v>4</v>
      </c>
      <c r="H27" s="15" t="n">
        <v>8</v>
      </c>
      <c r="I27" s="15" t="n">
        <v>12</v>
      </c>
      <c r="J27" s="16">
        <f>D27*(1+RefUnitTest+RefIntegrationTest+RefCodeReview)</f>
        <v/>
      </c>
      <c r="K27" s="16">
        <f>E27*(1+RefUnitTest+RefIntegrationTest+RefCodeReview)</f>
        <v/>
      </c>
      <c r="L27" s="16">
        <f>F27*(1+RefUnitTest+RefIntegrationTest+RefCodeReview)</f>
        <v/>
      </c>
      <c r="M27" s="16">
        <f>G27*(1+RefUnitTest+RefIntegrationTest+RefCodeReview)</f>
        <v/>
      </c>
      <c r="N27" s="16">
        <f>H27*(1+RefUnitTest+RefIntegrationTest+RefCodeReview)</f>
        <v/>
      </c>
      <c r="O27" s="16">
        <f>I27*(1+RefUnitTest+RefIntegrationTest+RefCodeReview)</f>
        <v/>
      </c>
      <c r="P27" s="16">
        <f>(J27+4*K27+L27)/6</f>
        <v/>
      </c>
      <c r="Q27" s="16">
        <f>(M27+4*N27+O27)/6</f>
        <v/>
      </c>
      <c r="R27" s="16">
        <f>(L27-J27)/6</f>
        <v/>
      </c>
      <c r="S27" s="16">
        <f>R27^2</f>
        <v/>
      </c>
      <c r="T27" s="16">
        <f>(O27-M27)/6</f>
        <v/>
      </c>
      <c r="U27" s="16">
        <f>T27^2</f>
        <v/>
      </c>
      <c r="V27" s="15" t="inlineStr">
        <is>
          <t>No</t>
        </is>
      </c>
      <c r="W27" s="15" t="n">
        <v>0</v>
      </c>
      <c r="X27" s="15" t="n">
        <v>0</v>
      </c>
      <c r="Y27" s="15" t="inlineStr">
        <is>
          <t>Included</t>
        </is>
      </c>
      <c r="Z27" s="15" t="inlineStr">
        <is>
          <t>Implementation</t>
        </is>
      </c>
      <c r="AA27" s="15" t="inlineStr">
        <is>
          <t>M2</t>
        </is>
      </c>
      <c r="AB27" s="15" t="n"/>
      <c r="AC27" s="15" t="n"/>
      <c r="AD27" s="15" t="n"/>
      <c r="AE27" s="15" t="n"/>
      <c r="AF27" s="15" t="n"/>
      <c r="AG27" s="15" t="n"/>
    </row>
    <row r="28" ht="15.75" customHeight="1" s="27">
      <c r="A28" s="12" t="inlineStr">
        <is>
          <t>UserStory</t>
        </is>
      </c>
      <c r="B28" s="12" t="inlineStr">
        <is>
          <t>US-2.5</t>
        </is>
      </c>
      <c r="C28" s="12" t="inlineStr">
        <is>
          <t>Delete account</t>
        </is>
      </c>
      <c r="D28" s="15" t="n">
        <v>8</v>
      </c>
      <c r="E28" s="15" t="n">
        <v>16</v>
      </c>
      <c r="F28" s="15" t="n">
        <v>24</v>
      </c>
      <c r="G28" s="15" t="n">
        <v>4</v>
      </c>
      <c r="H28" s="15" t="n">
        <v>8</v>
      </c>
      <c r="I28" s="15" t="n">
        <v>12</v>
      </c>
      <c r="J28" s="16">
        <f>D28*(1+RefUnitTest+RefIntegrationTest+RefCodeReview)</f>
        <v/>
      </c>
      <c r="K28" s="16">
        <f>E28*(1+RefUnitTest+RefIntegrationTest+RefCodeReview)</f>
        <v/>
      </c>
      <c r="L28" s="16">
        <f>F28*(1+RefUnitTest+RefIntegrationTest+RefCodeReview)</f>
        <v/>
      </c>
      <c r="M28" s="16">
        <f>G28*(1+RefUnitTest+RefIntegrationTest+RefCodeReview)</f>
        <v/>
      </c>
      <c r="N28" s="16">
        <f>H28*(1+RefUnitTest+RefIntegrationTest+RefCodeReview)</f>
        <v/>
      </c>
      <c r="O28" s="16">
        <f>I28*(1+RefUnitTest+RefIntegrationTest+RefCodeReview)</f>
        <v/>
      </c>
      <c r="P28" s="16">
        <f>(J28+4*K28+L28)/6</f>
        <v/>
      </c>
      <c r="Q28" s="16">
        <f>(M28+4*N28+O28)/6</f>
        <v/>
      </c>
      <c r="R28" s="16">
        <f>(L28-J28)/6</f>
        <v/>
      </c>
      <c r="S28" s="16">
        <f>R28^2</f>
        <v/>
      </c>
      <c r="T28" s="16">
        <f>(O28-M28)/6</f>
        <v/>
      </c>
      <c r="U28" s="16">
        <f>T28^2</f>
        <v/>
      </c>
      <c r="V28" s="15" t="inlineStr">
        <is>
          <t>No</t>
        </is>
      </c>
      <c r="W28" s="15" t="n">
        <v>0</v>
      </c>
      <c r="X28" s="15" t="n">
        <v>0</v>
      </c>
      <c r="Y28" s="15" t="inlineStr">
        <is>
          <t>Included</t>
        </is>
      </c>
      <c r="Z28" s="15" t="inlineStr">
        <is>
          <t>Implementation</t>
        </is>
      </c>
      <c r="AA28" s="15" t="inlineStr">
        <is>
          <t>M2</t>
        </is>
      </c>
      <c r="AB28" s="15" t="n"/>
      <c r="AC28" s="15" t="n"/>
      <c r="AD28" s="15" t="n"/>
      <c r="AE28" s="15" t="n"/>
      <c r="AF28" s="15" t="n"/>
      <c r="AG28" s="15" t="n"/>
    </row>
    <row r="29" ht="15.75" customHeight="1" s="27">
      <c r="A29" s="22" t="inlineStr">
        <is>
          <t>Epic</t>
        </is>
      </c>
      <c r="B29" s="22" t="inlineStr">
        <is>
          <t>E-3</t>
        </is>
      </c>
      <c r="C29" s="22" t="inlineStr">
        <is>
          <t>Wallet (sample regulated/financial epic)</t>
        </is>
      </c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</row>
    <row r="30" ht="15.75" customHeight="1" s="27">
      <c r="A30" s="12" t="inlineStr">
        <is>
          <t>UserStory</t>
        </is>
      </c>
      <c r="B30" s="12" t="inlineStr">
        <is>
          <t>US-3.1</t>
        </is>
      </c>
      <c r="C30" s="12" t="inlineStr">
        <is>
          <t>Setup wallet</t>
        </is>
      </c>
      <c r="D30" s="15" t="n">
        <v>16</v>
      </c>
      <c r="E30" s="15" t="n">
        <v>24</v>
      </c>
      <c r="F30" s="15" t="n">
        <v>40</v>
      </c>
      <c r="G30" s="15" t="n">
        <v>24</v>
      </c>
      <c r="H30" s="15" t="n">
        <v>40</v>
      </c>
      <c r="I30" s="15" t="n">
        <v>60</v>
      </c>
      <c r="J30" s="16">
        <f>D30*(1+RefUnitTest+RefIntegrationTest+RefCodeReview)</f>
        <v/>
      </c>
      <c r="K30" s="16">
        <f>E30*(1+RefUnitTest+RefIntegrationTest+RefCodeReview)</f>
        <v/>
      </c>
      <c r="L30" s="16">
        <f>F30*(1+RefUnitTest+RefIntegrationTest+RefCodeReview)</f>
        <v/>
      </c>
      <c r="M30" s="16">
        <f>G30*(1+RefUnitTest+RefIntegrationTest+RefCodeReview)</f>
        <v/>
      </c>
      <c r="N30" s="16">
        <f>H30*(1+RefUnitTest+RefIntegrationTest+RefCodeReview)</f>
        <v/>
      </c>
      <c r="O30" s="16">
        <f>I30*(1+RefUnitTest+RefIntegrationTest+RefCodeReview)</f>
        <v/>
      </c>
      <c r="P30" s="16">
        <f>(J30+4*K30+L30)/6</f>
        <v/>
      </c>
      <c r="Q30" s="16">
        <f>(M30+4*N30+O30)/6</f>
        <v/>
      </c>
      <c r="R30" s="16">
        <f>(L30-J30)/6</f>
        <v/>
      </c>
      <c r="S30" s="16">
        <f>R30^2</f>
        <v/>
      </c>
      <c r="T30" s="16">
        <f>(O30-M30)/6</f>
        <v/>
      </c>
      <c r="U30" s="16">
        <f>T30^2</f>
        <v/>
      </c>
      <c r="V30" s="15" t="inlineStr">
        <is>
          <t>No</t>
        </is>
      </c>
      <c r="W30" s="15" t="n">
        <v>0</v>
      </c>
      <c r="X30" s="15" t="n">
        <v>0</v>
      </c>
      <c r="Y30" s="15" t="inlineStr">
        <is>
          <t>Included</t>
        </is>
      </c>
      <c r="Z30" s="15" t="inlineStr">
        <is>
          <t>Implementation</t>
        </is>
      </c>
      <c r="AA30" s="15" t="inlineStr">
        <is>
          <t>M2</t>
        </is>
      </c>
      <c r="AB30" s="15" t="inlineStr">
        <is>
          <t>custodial wallet, KMS-backed</t>
        </is>
      </c>
      <c r="AC30" s="15" t="n"/>
      <c r="AD30" s="15" t="n"/>
      <c r="AE30" s="15" t="n"/>
      <c r="AF30" s="15" t="n"/>
      <c r="AG30" s="15" t="n"/>
    </row>
    <row r="31" ht="15.75" customHeight="1" s="27">
      <c r="A31" s="12" t="inlineStr">
        <is>
          <t>UserStory</t>
        </is>
      </c>
      <c r="B31" s="12" t="inlineStr">
        <is>
          <t>US-3.2</t>
        </is>
      </c>
      <c r="C31" s="12" t="inlineStr">
        <is>
          <t>Buy tokens</t>
        </is>
      </c>
      <c r="D31" s="15" t="n">
        <v>16</v>
      </c>
      <c r="E31" s="15" t="n">
        <v>24</v>
      </c>
      <c r="F31" s="15" t="n">
        <v>40</v>
      </c>
      <c r="G31" s="15" t="n">
        <v>12</v>
      </c>
      <c r="H31" s="15" t="n">
        <v>20</v>
      </c>
      <c r="I31" s="15" t="n">
        <v>32</v>
      </c>
      <c r="J31" s="16">
        <f>D31*(1+RefUnitTest+RefIntegrationTest+RefCodeReview)</f>
        <v/>
      </c>
      <c r="K31" s="16">
        <f>E31*(1+RefUnitTest+RefIntegrationTest+RefCodeReview)</f>
        <v/>
      </c>
      <c r="L31" s="16">
        <f>F31*(1+RefUnitTest+RefIntegrationTest+RefCodeReview)</f>
        <v/>
      </c>
      <c r="M31" s="16">
        <f>G31*(1+RefUnitTest+RefIntegrationTest+RefCodeReview)</f>
        <v/>
      </c>
      <c r="N31" s="16">
        <f>H31*(1+RefUnitTest+RefIntegrationTest+RefCodeReview)</f>
        <v/>
      </c>
      <c r="O31" s="16">
        <f>I31*(1+RefUnitTest+RefIntegrationTest+RefCodeReview)</f>
        <v/>
      </c>
      <c r="P31" s="16">
        <f>(J31+4*K31+L31)/6</f>
        <v/>
      </c>
      <c r="Q31" s="16">
        <f>(M31+4*N31+O31)/6</f>
        <v/>
      </c>
      <c r="R31" s="16">
        <f>(L31-J31)/6</f>
        <v/>
      </c>
      <c r="S31" s="16">
        <f>R31^2</f>
        <v/>
      </c>
      <c r="T31" s="16">
        <f>(O31-M31)/6</f>
        <v/>
      </c>
      <c r="U31" s="16">
        <f>T31^2</f>
        <v/>
      </c>
      <c r="V31" s="15" t="inlineStr">
        <is>
          <t>No</t>
        </is>
      </c>
      <c r="W31" s="15" t="n">
        <v>0</v>
      </c>
      <c r="X31" s="15" t="n">
        <v>0</v>
      </c>
      <c r="Y31" s="15" t="inlineStr">
        <is>
          <t>Included</t>
        </is>
      </c>
      <c r="Z31" s="15" t="inlineStr">
        <is>
          <t>Implementation</t>
        </is>
      </c>
      <c r="AA31" s="15" t="inlineStr">
        <is>
          <t>M2</t>
        </is>
      </c>
      <c r="AB31" s="15" t="inlineStr">
        <is>
          <t>Stripe + crypto on-ramp</t>
        </is>
      </c>
      <c r="AC31" s="15" t="n"/>
      <c r="AD31" s="15" t="n"/>
      <c r="AE31" s="15" t="n"/>
      <c r="AF31" s="15" t="n"/>
      <c r="AG31" s="15" t="n"/>
    </row>
    <row r="32" ht="15.75" customHeight="1" s="27">
      <c r="A32" s="12" t="inlineStr">
        <is>
          <t>UserStory</t>
        </is>
      </c>
      <c r="B32" s="12" t="inlineStr">
        <is>
          <t>US-3.3</t>
        </is>
      </c>
      <c r="C32" s="12" t="inlineStr">
        <is>
          <t>Sell tokens</t>
        </is>
      </c>
      <c r="D32" s="15" t="n">
        <v>16</v>
      </c>
      <c r="E32" s="15" t="n">
        <v>24</v>
      </c>
      <c r="F32" s="15" t="n">
        <v>40</v>
      </c>
      <c r="G32" s="15" t="n">
        <v>8</v>
      </c>
      <c r="H32" s="15" t="n">
        <v>12</v>
      </c>
      <c r="I32" s="15" t="n">
        <v>24</v>
      </c>
      <c r="J32" s="16">
        <f>D32*(1+RefUnitTest+RefIntegrationTest+RefCodeReview)</f>
        <v/>
      </c>
      <c r="K32" s="16">
        <f>E32*(1+RefUnitTest+RefIntegrationTest+RefCodeReview)</f>
        <v/>
      </c>
      <c r="L32" s="16">
        <f>F32*(1+RefUnitTest+RefIntegrationTest+RefCodeReview)</f>
        <v/>
      </c>
      <c r="M32" s="16">
        <f>G32*(1+RefUnitTest+RefIntegrationTest+RefCodeReview)</f>
        <v/>
      </c>
      <c r="N32" s="16">
        <f>H32*(1+RefUnitTest+RefIntegrationTest+RefCodeReview)</f>
        <v/>
      </c>
      <c r="O32" s="16">
        <f>I32*(1+RefUnitTest+RefIntegrationTest+RefCodeReview)</f>
        <v/>
      </c>
      <c r="P32" s="16">
        <f>(J32+4*K32+L32)/6</f>
        <v/>
      </c>
      <c r="Q32" s="16">
        <f>(M32+4*N32+O32)/6</f>
        <v/>
      </c>
      <c r="R32" s="16">
        <f>(L32-J32)/6</f>
        <v/>
      </c>
      <c r="S32" s="16">
        <f>R32^2</f>
        <v/>
      </c>
      <c r="T32" s="16">
        <f>(O32-M32)/6</f>
        <v/>
      </c>
      <c r="U32" s="16">
        <f>T32^2</f>
        <v/>
      </c>
      <c r="V32" s="15" t="inlineStr">
        <is>
          <t>No</t>
        </is>
      </c>
      <c r="W32" s="15" t="n">
        <v>0</v>
      </c>
      <c r="X32" s="15" t="n">
        <v>0</v>
      </c>
      <c r="Y32" s="15" t="inlineStr">
        <is>
          <t>Included</t>
        </is>
      </c>
      <c r="Z32" s="15" t="inlineStr">
        <is>
          <t>Implementation</t>
        </is>
      </c>
      <c r="AA32" s="15" t="inlineStr">
        <is>
          <t>M3</t>
        </is>
      </c>
      <c r="AB32" s="15" t="n"/>
      <c r="AC32" s="15" t="n"/>
      <c r="AD32" s="15" t="n"/>
      <c r="AE32" s="15" t="n"/>
      <c r="AF32" s="15" t="n"/>
      <c r="AG32" s="15" t="n"/>
    </row>
    <row r="33" ht="15.75" customHeight="1" s="27">
      <c r="A33" s="12" t="inlineStr">
        <is>
          <t>UserStory</t>
        </is>
      </c>
      <c r="B33" s="12" t="inlineStr">
        <is>
          <t>US-3.4</t>
        </is>
      </c>
      <c r="C33" s="12" t="inlineStr">
        <is>
          <t>View transactions</t>
        </is>
      </c>
      <c r="D33" s="15" t="n">
        <v>12</v>
      </c>
      <c r="E33" s="15" t="n">
        <v>20</v>
      </c>
      <c r="F33" s="15" t="n">
        <v>32</v>
      </c>
      <c r="G33" s="15" t="n">
        <v>12</v>
      </c>
      <c r="H33" s="15" t="n">
        <v>16</v>
      </c>
      <c r="I33" s="15" t="n">
        <v>24</v>
      </c>
      <c r="J33" s="16">
        <f>D33*(1+RefUnitTest+RefIntegrationTest+RefCodeReview)</f>
        <v/>
      </c>
      <c r="K33" s="16">
        <f>E33*(1+RefUnitTest+RefIntegrationTest+RefCodeReview)</f>
        <v/>
      </c>
      <c r="L33" s="16">
        <f>F33*(1+RefUnitTest+RefIntegrationTest+RefCodeReview)</f>
        <v/>
      </c>
      <c r="M33" s="16">
        <f>G33*(1+RefUnitTest+RefIntegrationTest+RefCodeReview)</f>
        <v/>
      </c>
      <c r="N33" s="16">
        <f>H33*(1+RefUnitTest+RefIntegrationTest+RefCodeReview)</f>
        <v/>
      </c>
      <c r="O33" s="16">
        <f>I33*(1+RefUnitTest+RefIntegrationTest+RefCodeReview)</f>
        <v/>
      </c>
      <c r="P33" s="16">
        <f>(J33+4*K33+L33)/6</f>
        <v/>
      </c>
      <c r="Q33" s="16">
        <f>(M33+4*N33+O33)/6</f>
        <v/>
      </c>
      <c r="R33" s="16">
        <f>(L33-J33)/6</f>
        <v/>
      </c>
      <c r="S33" s="16">
        <f>R33^2</f>
        <v/>
      </c>
      <c r="T33" s="16">
        <f>(O33-M33)/6</f>
        <v/>
      </c>
      <c r="U33" s="16">
        <f>T33^2</f>
        <v/>
      </c>
      <c r="V33" s="15" t="inlineStr">
        <is>
          <t>No</t>
        </is>
      </c>
      <c r="W33" s="15" t="n">
        <v>0</v>
      </c>
      <c r="X33" s="15" t="n">
        <v>0</v>
      </c>
      <c r="Y33" s="15" t="inlineStr">
        <is>
          <t>Included</t>
        </is>
      </c>
      <c r="Z33" s="15" t="inlineStr">
        <is>
          <t>Implementation</t>
        </is>
      </c>
      <c r="AA33" s="15" t="inlineStr">
        <is>
          <t>M2</t>
        </is>
      </c>
      <c r="AB33" s="15" t="n"/>
      <c r="AC33" s="15" t="n"/>
      <c r="AD33" s="15" t="n"/>
      <c r="AE33" s="15" t="n"/>
      <c r="AF33" s="15" t="n"/>
      <c r="AG33" s="15" t="n"/>
    </row>
    <row r="34" ht="15.75" customHeight="1" s="27">
      <c r="A34" s="12" t="inlineStr">
        <is>
          <t>UserStory</t>
        </is>
      </c>
      <c r="B34" s="12" t="inlineStr">
        <is>
          <t>US-3.5</t>
        </is>
      </c>
      <c r="C34" s="12" t="inlineStr">
        <is>
          <t>KYC initiate / upload ID / verify</t>
        </is>
      </c>
      <c r="D34" s="15" t="n">
        <v>16</v>
      </c>
      <c r="E34" s="15" t="n">
        <v>32</v>
      </c>
      <c r="F34" s="15" t="n">
        <v>64</v>
      </c>
      <c r="G34" s="15" t="n">
        <v>8</v>
      </c>
      <c r="H34" s="15" t="n">
        <v>16</v>
      </c>
      <c r="I34" s="15" t="n">
        <v>24</v>
      </c>
      <c r="J34" s="16">
        <f>D34*(1+RefUnitTest+RefIntegrationTest+RefCodeReview)</f>
        <v/>
      </c>
      <c r="K34" s="16">
        <f>E34*(1+RefUnitTest+RefIntegrationTest+RefCodeReview)</f>
        <v/>
      </c>
      <c r="L34" s="16">
        <f>F34*(1+RefUnitTest+RefIntegrationTest+RefCodeReview)</f>
        <v/>
      </c>
      <c r="M34" s="16">
        <f>G34*(1+RefUnitTest+RefIntegrationTest+RefCodeReview)</f>
        <v/>
      </c>
      <c r="N34" s="16">
        <f>H34*(1+RefUnitTest+RefIntegrationTest+RefCodeReview)</f>
        <v/>
      </c>
      <c r="O34" s="16">
        <f>I34*(1+RefUnitTest+RefIntegrationTest+RefCodeReview)</f>
        <v/>
      </c>
      <c r="P34" s="16">
        <f>(J34+4*K34+L34)/6</f>
        <v/>
      </c>
      <c r="Q34" s="16">
        <f>(M34+4*N34+O34)/6</f>
        <v/>
      </c>
      <c r="R34" s="16">
        <f>(L34-J34)/6</f>
        <v/>
      </c>
      <c r="S34" s="16">
        <f>R34^2</f>
        <v/>
      </c>
      <c r="T34" s="16">
        <f>(O34-M34)/6</f>
        <v/>
      </c>
      <c r="U34" s="16">
        <f>T34^2</f>
        <v/>
      </c>
      <c r="V34" s="15" t="inlineStr">
        <is>
          <t>No</t>
        </is>
      </c>
      <c r="W34" s="15" t="n">
        <v>0</v>
      </c>
      <c r="X34" s="15" t="n">
        <v>0</v>
      </c>
      <c r="Y34" s="15" t="inlineStr">
        <is>
          <t>Included</t>
        </is>
      </c>
      <c r="Z34" s="15" t="inlineStr">
        <is>
          <t>Implementation</t>
        </is>
      </c>
      <c r="AA34" s="15" t="inlineStr">
        <is>
          <t>M3</t>
        </is>
      </c>
      <c r="AB34" s="15" t="inlineStr">
        <is>
          <t>3rd-party KYC vendor (Onfido/SumSub)</t>
        </is>
      </c>
      <c r="AC34" s="15" t="n"/>
      <c r="AD34" s="15" t="n"/>
      <c r="AE34" s="15" t="n"/>
      <c r="AF34" s="15" t="n"/>
      <c r="AG34" s="15" t="n"/>
    </row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10">
    <mergeCell ref="J7:L7"/>
    <mergeCell ref="B5:N5"/>
    <mergeCell ref="B4:N4"/>
    <mergeCell ref="G7:I7"/>
    <mergeCell ref="M7:O7"/>
    <mergeCell ref="D7:F7"/>
    <mergeCell ref="B6:N6"/>
    <mergeCell ref="B3:N3"/>
    <mergeCell ref="B2:N2"/>
    <mergeCell ref="A1:N1"/>
  </mergeCells>
  <conditionalFormatting sqref="D9:F34">
    <cfRule type="expression" priority="1" dxfId="0">
      <formula>AND($F9&gt;0,$D9&gt;0,$F9/$D9&gt;5)</formula>
    </cfRule>
    <cfRule type="expression" priority="2" dxfId="0">
      <formula>OR($D9&gt;$E9,$E9&gt;$F9)</formula>
    </cfRule>
  </conditionalFormatting>
  <conditionalFormatting sqref="G9:I34">
    <cfRule type="expression" priority="3" dxfId="0">
      <formula>AND($I9&gt;0,$G9&gt;0,$I9/$G9&gt;5)</formula>
    </cfRule>
    <cfRule type="expression" priority="4" dxfId="0">
      <formula>OR($G9&gt;$H9,$H9&gt;$I9)</formula>
    </cfRule>
  </conditionalFormatting>
  <dataValidations count="4">
    <dataValidation sqref="AA9:AA34" showDropDown="0" showInputMessage="0" showErrorMessage="0" allowBlank="1" type="list">
      <formula1>"M1,M2,M3,M4,M5,Post-MVP"</formula1>
    </dataValidation>
    <dataValidation sqref="Z9:Z34" showDropDown="0" showInputMessage="0" showErrorMessage="0" allowBlank="1" type="list">
      <formula1>"Discovery,Implementation,Post-MVP Enhancement,Maintenance"</formula1>
    </dataValidation>
    <dataValidation sqref="Y9:Y34" showDropDown="0" showInputMessage="0" showErrorMessage="0" allowBlank="1" type="list">
      <formula1>"Included,Not included,Post-MVP,Select"</formula1>
    </dataValidation>
    <dataValidation sqref="V9:V34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Business Analysis Estimation</t>
        </is>
      </c>
    </row>
    <row r="2" ht="48" customHeight="1" s="27">
      <c r="A2" s="7" t="inlineStr">
        <is>
          <t>Purpose:</t>
        </is>
      </c>
      <c r="B2" s="28" t="inlineStr">
        <is>
          <t>Catalogue of BA deliverables (Vision &amp; Scope, USM, RACI, BPMN, Class diagrams, prototypes, benchmarking, ...) with PERT estimates per item. Replaces the v1.4 assumption that BA effort equals 0.25 FTE.</t>
        </is>
      </c>
    </row>
    <row r="3" ht="48" customHeight="1" s="27">
      <c r="A3" s="7" t="inlineStr">
        <is>
          <t>How to use:</t>
        </is>
      </c>
      <c r="B3" s="28" t="inlineStr">
        <is>
          <t>(1) Walk down the catalogue. (2) Set O/ML/P for items you'll deliver, leave others at 0. (3) Set Include = Not included for items the client did not buy (they stay in the catalogue but excluded from totals). (4) Use Apply Contingency = Yes on items with vague requirements (typical 20% default). (5) Mark Phase = Discovery / Implementation / Post-MVP / Maintenance.</t>
        </is>
      </c>
    </row>
    <row r="4" ht="30" customHeight="1" s="27">
      <c r="A4" s="7" t="inlineStr">
        <is>
          <t>Inputs:</t>
        </is>
      </c>
      <c r="B4" s="28" t="inlineStr">
        <is>
          <t>O/ML/P per row, Apply Contingency Y/N, Include, Phase, Deliverable, Description, Assumptions, Notes.</t>
        </is>
      </c>
    </row>
    <row r="5" ht="30" customHeight="1" s="27">
      <c r="A5" s="7" t="inlineStr">
        <is>
          <t>Outputs:</t>
        </is>
      </c>
      <c r="B5" s="28" t="inlineStr">
        <is>
          <t>Final Expected per row. Included sum (col I where Include=Included) flows to Buffers &amp; Non-Dev Activities and from there to Headcount and Cost as the BA estimated hours.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(BA roll-up). Headcount and Cost (BA estimated hours).</t>
        </is>
      </c>
    </row>
    <row r="7">
      <c r="A7" s="14" t="inlineStr">
        <is>
          <t>Default contingency:</t>
        </is>
      </c>
      <c r="B7" s="23" t="n">
        <v>0.2</v>
      </c>
      <c r="C7" s="12" t="inlineStr">
        <is>
          <t>(used when Apply Contingency = Yes; multiplied by Most Likely)</t>
        </is>
      </c>
    </row>
    <row r="8">
      <c r="A8" s="5" t="inlineStr">
        <is>
          <t>Per-line PERT estimate for BA deliverables. Default contingency 20% applied when Apply Contingency = Yes.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SUM(C12:C29)</f>
        <v/>
      </c>
      <c r="D11" s="16">
        <f>SUM(D12:D29)</f>
        <v/>
      </c>
      <c r="E11" s="16">
        <f>SUM(E12:E29)</f>
        <v/>
      </c>
      <c r="F11" s="12">
        <f>SUM(F12:F29)</f>
        <v/>
      </c>
      <c r="H11" s="12">
        <f>SUM(H12:H29)</f>
        <v/>
      </c>
      <c r="I11" s="12">
        <f>SUMIF(J12:J29,"Included",I12:I29)</f>
        <v/>
      </c>
      <c r="J11" s="12" t="inlineStr">
        <is>
          <t>(only Included counted at right)</t>
        </is>
      </c>
    </row>
    <row r="12">
      <c r="A12" s="21" t="inlineStr">
        <is>
          <t>BA-1</t>
        </is>
      </c>
      <c r="B12" s="21" t="inlineStr">
        <is>
          <t>Discovery deliverables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BA-1.1</t>
        </is>
      </c>
      <c r="B13" s="12" t="inlineStr">
        <is>
          <t>Vision &amp; Scope document</t>
        </is>
      </c>
      <c r="C13" s="15" t="n">
        <v>8</v>
      </c>
      <c r="D13" s="15" t="n">
        <v>16</v>
      </c>
      <c r="E13" s="15" t="n">
        <v>24</v>
      </c>
      <c r="F13" s="16">
        <f>IF(AND(C13&lt;&gt;"",D13&lt;&gt;"",E13&lt;&gt;""),(C13+4*D13+E13)/6,0)</f>
        <v/>
      </c>
      <c r="G13" s="15" t="inlineStr">
        <is>
          <t>Yes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inlineStr">
        <is>
          <t>Vision &amp; Scope doc</t>
        </is>
      </c>
      <c r="M13" s="15" t="inlineStr">
        <is>
          <t>Background, Business Opportunity, Objectives, Risks, Vision Statement, Major Features, Assumptions, Stakeholder Profiles, Operating Environment, Glossary</t>
        </is>
      </c>
      <c r="N13" s="15" t="n"/>
      <c r="O13" s="15" t="n"/>
    </row>
    <row r="14">
      <c r="A14" s="12" t="inlineStr">
        <is>
          <t>BA-1.2</t>
        </is>
      </c>
      <c r="B14" s="12" t="inlineStr">
        <is>
          <t>User Story Map (USM)</t>
        </is>
      </c>
      <c r="C14" s="15" t="n">
        <v>16</v>
      </c>
      <c r="D14" s="15" t="n">
        <v>32</v>
      </c>
      <c r="E14" s="15" t="n">
        <v>48</v>
      </c>
      <c r="F14" s="16">
        <f>IF(AND(C14&lt;&gt;"",D14&lt;&gt;"",E14&lt;&gt;""),(C14+4*D14+E14)/6,0)</f>
        <v/>
      </c>
      <c r="G14" s="15" t="inlineStr">
        <is>
          <t>Yes</t>
        </is>
      </c>
      <c r="H14" s="16">
        <f>IF(G14="Yes",ROUND(D14*$B$7,1),0)</f>
        <v/>
      </c>
      <c r="I14" s="16">
        <f>F14+H14</f>
        <v/>
      </c>
      <c r="J14" s="15" t="inlineStr">
        <is>
          <t>Included</t>
        </is>
      </c>
      <c r="K14" s="15" t="inlineStr">
        <is>
          <t>Discovery</t>
        </is>
      </c>
      <c r="L14" s="15" t="inlineStr">
        <is>
          <t>USM</t>
        </is>
      </c>
      <c r="M14" s="15" t="inlineStr">
        <is>
          <t>Visualization of the product backbone across user journey</t>
        </is>
      </c>
      <c r="N14" s="15" t="n"/>
      <c r="O14" s="15" t="n"/>
    </row>
    <row r="15">
      <c r="A15" s="12" t="inlineStr">
        <is>
          <t>BA-1.3</t>
        </is>
      </c>
      <c r="B15" s="12" t="inlineStr">
        <is>
          <t>Roles &amp; Permissions Matrix</t>
        </is>
      </c>
      <c r="C15" s="15" t="n">
        <v>8</v>
      </c>
      <c r="D15" s="15" t="n">
        <v>12</v>
      </c>
      <c r="E15" s="15" t="n">
        <v>20</v>
      </c>
      <c r="F15" s="16">
        <f>IF(AND(C15&lt;&gt;"",D15&lt;&gt;"",E15&lt;&gt;""),(C15+4*D15+E15)/6,0)</f>
        <v/>
      </c>
      <c r="G15" s="15" t="inlineStr">
        <is>
          <t>Yes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inlineStr">
        <is>
          <t>RBAC matrix</t>
        </is>
      </c>
      <c r="M15" s="15" t="inlineStr">
        <is>
          <t>Roles, role-related features, permission grid</t>
        </is>
      </c>
      <c r="N15" s="15" t="n"/>
      <c r="O15" s="15" t="n"/>
    </row>
    <row r="16">
      <c r="A16" s="12" t="inlineStr">
        <is>
          <t>BA-1.4</t>
        </is>
      </c>
      <c r="B16" s="12" t="inlineStr">
        <is>
          <t>WBS / Feature list adjustment</t>
        </is>
      </c>
      <c r="C16" s="15" t="n">
        <v>4</v>
      </c>
      <c r="D16" s="15" t="n">
        <v>8</v>
      </c>
      <c r="E16" s="15" t="n">
        <v>16</v>
      </c>
      <c r="F16" s="16">
        <f>IF(AND(C16&lt;&gt;"",D16&lt;&gt;"",E16&lt;&gt;""),(C16+4*D16+E16)/6,0)</f>
        <v/>
      </c>
      <c r="G16" s="15" t="inlineStr">
        <is>
          <t>No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Discovery</t>
        </is>
      </c>
      <c r="L16" s="15" t="inlineStr">
        <is>
          <t>MVP / Post-MVP feature list</t>
        </is>
      </c>
      <c r="M16" s="15" t="n"/>
      <c r="N16" s="15" t="n"/>
      <c r="O16" s="15" t="n"/>
    </row>
    <row r="17">
      <c r="A17" s="12" t="inlineStr">
        <is>
          <t>BA-1.5</t>
        </is>
      </c>
      <c r="B17" s="12" t="inlineStr">
        <is>
          <t>Initial Sprint Backlog</t>
        </is>
      </c>
      <c r="C17" s="15" t="n">
        <v>16</v>
      </c>
      <c r="D17" s="15" t="n">
        <v>24</v>
      </c>
      <c r="E17" s="15" t="n">
        <v>40</v>
      </c>
      <c r="F17" s="16">
        <f>IF(AND(C17&lt;&gt;"",D17&lt;&gt;"",E17&lt;&gt;""),(C17+4*D17+E17)/6,0)</f>
        <v/>
      </c>
      <c r="G17" s="15" t="inlineStr">
        <is>
          <t>Yes</t>
        </is>
      </c>
      <c r="H17" s="16">
        <f>IF(G17="Yes",ROUND(D17*$B$7,1),0)</f>
        <v/>
      </c>
      <c r="I17" s="16">
        <f>F17+H17</f>
        <v/>
      </c>
      <c r="J17" s="15" t="inlineStr">
        <is>
          <t>Included</t>
        </is>
      </c>
      <c r="K17" s="15" t="inlineStr">
        <is>
          <t>Discovery</t>
        </is>
      </c>
      <c r="L17" s="15" t="inlineStr">
        <is>
          <t>Initial Backlog</t>
        </is>
      </c>
      <c r="M17" s="15" t="inlineStr">
        <is>
          <t>Prioritized, DoR-ready USs for first sprints</t>
        </is>
      </c>
      <c r="N17" s="15" t="n"/>
      <c r="O17" s="15" t="n"/>
    </row>
    <row r="18">
      <c r="A18" s="12" t="inlineStr">
        <is>
          <t>BA-1.6</t>
        </is>
      </c>
      <c r="B18" s="12" t="inlineStr">
        <is>
          <t>BPMN diagrams (key processes)</t>
        </is>
      </c>
      <c r="C18" s="15" t="n">
        <v>16</v>
      </c>
      <c r="D18" s="15" t="n">
        <v>32</v>
      </c>
      <c r="E18" s="15" t="n">
        <v>48</v>
      </c>
      <c r="F18" s="16">
        <f>IF(AND(C18&lt;&gt;"",D18&lt;&gt;"",E18&lt;&gt;""),(C18+4*D18+E18)/6,0)</f>
        <v/>
      </c>
      <c r="G18" s="15" t="inlineStr">
        <is>
          <t>Yes</t>
        </is>
      </c>
      <c r="H18" s="16">
        <f>IF(G18="Yes",ROUND(D18*$B$7,1),0)</f>
        <v/>
      </c>
      <c r="I18" s="16">
        <f>F18+H18</f>
        <v/>
      </c>
      <c r="J18" s="15" t="inlineStr">
        <is>
          <t>Included</t>
        </is>
      </c>
      <c r="K18" s="15" t="inlineStr">
        <is>
          <t>Discovery</t>
        </is>
      </c>
      <c r="L18" s="15" t="inlineStr">
        <is>
          <t>BPMN diagrams</t>
        </is>
      </c>
      <c r="M18" s="15" t="n"/>
      <c r="N18" s="15" t="n"/>
      <c r="O18" s="15" t="n"/>
    </row>
    <row r="19">
      <c r="A19" s="12" t="inlineStr">
        <is>
          <t>BA-1.7</t>
        </is>
      </c>
      <c r="B19" s="12" t="inlineStr">
        <is>
          <t>Interactive prototypes (key flows)</t>
        </is>
      </c>
      <c r="C19" s="15" t="n">
        <v>16</v>
      </c>
      <c r="D19" s="15" t="n">
        <v>24</v>
      </c>
      <c r="E19" s="15" t="n">
        <v>40</v>
      </c>
      <c r="F19" s="16">
        <f>IF(AND(C19&lt;&gt;"",D19&lt;&gt;"",E19&lt;&gt;""),(C19+4*D19+E19)/6,0)</f>
        <v/>
      </c>
      <c r="G19" s="15" t="inlineStr">
        <is>
          <t>No</t>
        </is>
      </c>
      <c r="H19" s="16">
        <f>IF(G19="Yes",ROUND(D19*$B$7,1),0)</f>
        <v/>
      </c>
      <c r="I19" s="16">
        <f>F19+H19</f>
        <v/>
      </c>
      <c r="J19" s="15" t="inlineStr">
        <is>
          <t>Not included</t>
        </is>
      </c>
      <c r="K19" s="15" t="inlineStr">
        <is>
          <t>Discovery</t>
        </is>
      </c>
      <c r="L19" s="15" t="inlineStr">
        <is>
          <t>Figma prototypes</t>
        </is>
      </c>
      <c r="M19" s="15" t="inlineStr">
        <is>
          <t>Coordinated with UI/UX tab</t>
        </is>
      </c>
      <c r="N19" s="15" t="n"/>
      <c r="O19" s="15" t="n"/>
    </row>
    <row r="20">
      <c r="A20" s="12" t="inlineStr">
        <is>
          <t>BA-1.8</t>
        </is>
      </c>
      <c r="B20" s="12" t="inlineStr">
        <is>
          <t>Context Diagram</t>
        </is>
      </c>
      <c r="C20" s="15" t="n">
        <v>8</v>
      </c>
      <c r="D20" s="15" t="n">
        <v>12</v>
      </c>
      <c r="E20" s="15" t="n">
        <v>24</v>
      </c>
      <c r="F20" s="16">
        <f>IF(AND(C20&lt;&gt;"",D20&lt;&gt;"",E20&lt;&gt;""),(C20+4*D20+E20)/6,0)</f>
        <v/>
      </c>
      <c r="G20" s="15" t="inlineStr">
        <is>
          <t>No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Discovery</t>
        </is>
      </c>
      <c r="L20" s="15" t="inlineStr">
        <is>
          <t>Context diagram</t>
        </is>
      </c>
      <c r="M20" s="15" t="n"/>
      <c r="N20" s="15" t="n"/>
      <c r="O20" s="15" t="n"/>
    </row>
    <row r="21" ht="15.75" customHeight="1" s="27">
      <c r="A21" s="12" t="inlineStr">
        <is>
          <t>BA-1.9</t>
        </is>
      </c>
      <c r="B21" s="12" t="inlineStr">
        <is>
          <t>Class diagram (high level)</t>
        </is>
      </c>
      <c r="C21" s="15" t="n">
        <v>8</v>
      </c>
      <c r="D21" s="15" t="n">
        <v>12</v>
      </c>
      <c r="E21" s="15" t="n">
        <v>24</v>
      </c>
      <c r="F21" s="16">
        <f>IF(AND(C21&lt;&gt;"",D21&lt;&gt;"",E21&lt;&gt;""),(C21+4*D21+E21)/6,0)</f>
        <v/>
      </c>
      <c r="G21" s="15" t="inlineStr">
        <is>
          <t>No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Discovery</t>
        </is>
      </c>
      <c r="L21" s="15" t="inlineStr">
        <is>
          <t>Class diagram</t>
        </is>
      </c>
      <c r="M21" s="15" t="n"/>
      <c r="N21" s="15" t="n"/>
      <c r="O21" s="15" t="n"/>
    </row>
    <row r="22" ht="15.75" customHeight="1" s="27">
      <c r="A22" s="12" t="inlineStr">
        <is>
          <t>BA-1.10</t>
        </is>
      </c>
      <c r="B22" s="12" t="inlineStr">
        <is>
          <t>State machine diagram</t>
        </is>
      </c>
      <c r="C22" s="15" t="n">
        <v>8</v>
      </c>
      <c r="D22" s="15" t="n">
        <v>16</v>
      </c>
      <c r="E22" s="15" t="n">
        <v>32</v>
      </c>
      <c r="F22" s="16">
        <f>IF(AND(C22&lt;&gt;"",D22&lt;&gt;"",E22&lt;&gt;""),(C22+4*D22+E22)/6,0)</f>
        <v/>
      </c>
      <c r="G22" s="15" t="inlineStr">
        <is>
          <t>No</t>
        </is>
      </c>
      <c r="H22" s="16">
        <f>IF(G22="Yes",ROUND(D22*$B$7,1),0)</f>
        <v/>
      </c>
      <c r="I22" s="16">
        <f>F22+H22</f>
        <v/>
      </c>
      <c r="J22" s="15" t="inlineStr">
        <is>
          <t>Included</t>
        </is>
      </c>
      <c r="K22" s="15" t="inlineStr">
        <is>
          <t>Discovery</t>
        </is>
      </c>
      <c r="L22" s="15" t="inlineStr">
        <is>
          <t>State machine</t>
        </is>
      </c>
      <c r="M22" s="15" t="n"/>
      <c r="N22" s="15" t="n"/>
      <c r="O22" s="15" t="n"/>
    </row>
    <row r="23" ht="15.75" customHeight="1" s="27">
      <c r="A23" s="12" t="inlineStr">
        <is>
          <t>BA-1.11</t>
        </is>
      </c>
      <c r="B23" s="12" t="inlineStr">
        <is>
          <t>Benchmarking / competitor analysis</t>
        </is>
      </c>
      <c r="C23" s="15" t="n">
        <v>16</v>
      </c>
      <c r="D23" s="15" t="n">
        <v>32</v>
      </c>
      <c r="E23" s="15" t="n">
        <v>48</v>
      </c>
      <c r="F23" s="16">
        <f>IF(AND(C23&lt;&gt;"",D23&lt;&gt;"",E23&lt;&gt;""),(C23+4*D23+E23)/6,0)</f>
        <v/>
      </c>
      <c r="G23" s="15" t="inlineStr">
        <is>
          <t>No</t>
        </is>
      </c>
      <c r="H23" s="16">
        <f>IF(G23="Yes",ROUND(D23*$B$7,1),0)</f>
        <v/>
      </c>
      <c r="I23" s="16">
        <f>F23+H23</f>
        <v/>
      </c>
      <c r="J23" s="15" t="inlineStr">
        <is>
          <t>Not included</t>
        </is>
      </c>
      <c r="K23" s="15" t="inlineStr">
        <is>
          <t>Discovery</t>
        </is>
      </c>
      <c r="L23" s="15" t="n"/>
      <c r="M23" s="15" t="n"/>
      <c r="N23" s="15" t="n"/>
      <c r="O23" s="15" t="n"/>
    </row>
    <row r="24" ht="15.75" customHeight="1" s="27">
      <c r="A24" s="12" t="inlineStr">
        <is>
          <t>BA-1.12</t>
        </is>
      </c>
      <c r="B24" s="12" t="inlineStr">
        <is>
          <t>Stakeholder Matrix / Glossary / Communication plan</t>
        </is>
      </c>
      <c r="C24" s="15" t="n">
        <v>4</v>
      </c>
      <c r="D24" s="15" t="n">
        <v>8</v>
      </c>
      <c r="E24" s="15" t="n">
        <v>12</v>
      </c>
      <c r="F24" s="16">
        <f>IF(AND(C24&lt;&gt;"",D24&lt;&gt;"",E24&lt;&gt;""),(C24+4*D24+E24)/6,0)</f>
        <v/>
      </c>
      <c r="G24" s="15" t="inlineStr">
        <is>
          <t>No</t>
        </is>
      </c>
      <c r="H24" s="16">
        <f>IF(G24="Yes",ROUND(D24*$B$7,1),0)</f>
        <v/>
      </c>
      <c r="I24" s="16">
        <f>F24+H24</f>
        <v/>
      </c>
      <c r="J24" s="15" t="inlineStr">
        <is>
          <t>Included</t>
        </is>
      </c>
      <c r="K24" s="15" t="inlineStr">
        <is>
          <t>Discovery</t>
        </is>
      </c>
      <c r="L24" s="15" t="n"/>
      <c r="M24" s="15" t="n"/>
      <c r="N24" s="15" t="n"/>
      <c r="O24" s="15" t="n"/>
    </row>
    <row r="25" ht="15.75" customHeight="1" s="27">
      <c r="A25" s="21" t="inlineStr">
        <is>
          <t>BA-2</t>
        </is>
      </c>
      <c r="B25" s="21" t="inlineStr">
        <is>
          <t>Implementation deliverables</t>
        </is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 ht="15.75" customHeight="1" s="27">
      <c r="A26" s="12" t="inlineStr">
        <is>
          <t>BA-2.1</t>
        </is>
      </c>
      <c r="B26" s="12" t="inlineStr">
        <is>
          <t>Refining backlog (per sprint)</t>
        </is>
      </c>
      <c r="C26" s="15" t="n">
        <v>4</v>
      </c>
      <c r="D26" s="15" t="n">
        <v>8</v>
      </c>
      <c r="E26" s="15" t="n">
        <v>12</v>
      </c>
      <c r="F26" s="16">
        <f>IF(AND(C26&lt;&gt;"",D26&lt;&gt;"",E26&lt;&gt;""),(C26+4*D26+E26)/6,0)</f>
        <v/>
      </c>
      <c r="G26" s="15" t="inlineStr">
        <is>
          <t>No</t>
        </is>
      </c>
      <c r="H26" s="16">
        <f>IF(G26="Yes",ROUND(D26*$B$7,1),0)</f>
        <v/>
      </c>
      <c r="I26" s="16">
        <f>F26+H26</f>
        <v/>
      </c>
      <c r="J26" s="15" t="inlineStr">
        <is>
          <t>Included</t>
        </is>
      </c>
      <c r="K26" s="15" t="inlineStr">
        <is>
          <t>Implementation</t>
        </is>
      </c>
      <c r="L26" s="15" t="inlineStr">
        <is>
          <t>Refined backlog</t>
        </is>
      </c>
      <c r="M26" s="15" t="inlineStr">
        <is>
          <t>Per sprint over implementation duration</t>
        </is>
      </c>
      <c r="N26" s="15" t="n"/>
      <c r="O26" s="15" t="n"/>
    </row>
    <row r="27" ht="15.75" customHeight="1" s="27">
      <c r="A27" s="12" t="inlineStr">
        <is>
          <t>BA-2.2</t>
        </is>
      </c>
      <c r="B27" s="12" t="inlineStr">
        <is>
          <t>Acceptance criteria authoring</t>
        </is>
      </c>
      <c r="C27" s="15" t="n">
        <v>4</v>
      </c>
      <c r="D27" s="15" t="n">
        <v>8</v>
      </c>
      <c r="E27" s="15" t="n">
        <v>12</v>
      </c>
      <c r="F27" s="16">
        <f>IF(AND(C27&lt;&gt;"",D27&lt;&gt;"",E27&lt;&gt;""),(C27+4*D27+E27)/6,0)</f>
        <v/>
      </c>
      <c r="G27" s="15" t="inlineStr">
        <is>
          <t>No</t>
        </is>
      </c>
      <c r="H27" s="16">
        <f>IF(G27="Yes",ROUND(D27*$B$7,1),0)</f>
        <v/>
      </c>
      <c r="I27" s="16">
        <f>F27+H27</f>
        <v/>
      </c>
      <c r="J27" s="15" t="inlineStr">
        <is>
          <t>Included</t>
        </is>
      </c>
      <c r="K27" s="15" t="inlineStr">
        <is>
          <t>Implementation</t>
        </is>
      </c>
      <c r="L27" s="15" t="n"/>
      <c r="M27" s="15" t="n"/>
      <c r="N27" s="15" t="n"/>
      <c r="O27" s="15" t="n"/>
    </row>
    <row r="28" ht="15.75" customHeight="1" s="27">
      <c r="A28" s="12" t="inlineStr">
        <is>
          <t>BA-2.3</t>
        </is>
      </c>
      <c r="B28" s="12" t="inlineStr">
        <is>
          <t>Change request analysis</t>
        </is>
      </c>
      <c r="C28" s="15" t="n">
        <v>4</v>
      </c>
      <c r="D28" s="15" t="n">
        <v>8</v>
      </c>
      <c r="E28" s="15" t="n">
        <v>16</v>
      </c>
      <c r="F28" s="16">
        <f>IF(AND(C28&lt;&gt;"",D28&lt;&gt;"",E28&lt;&gt;""),(C28+4*D28+E28)/6,0)</f>
        <v/>
      </c>
      <c r="G28" s="15" t="inlineStr">
        <is>
          <t>Yes</t>
        </is>
      </c>
      <c r="H28" s="16">
        <f>IF(G28="Yes",ROUND(D28*$B$7,1),0)</f>
        <v/>
      </c>
      <c r="I28" s="16">
        <f>F28+H28</f>
        <v/>
      </c>
      <c r="J28" s="15" t="inlineStr">
        <is>
          <t>Included</t>
        </is>
      </c>
      <c r="K28" s="15" t="inlineStr">
        <is>
          <t>Implementation</t>
        </is>
      </c>
      <c r="L28" s="15" t="n"/>
      <c r="M28" s="15" t="n"/>
      <c r="N28" s="15" t="n"/>
      <c r="O28" s="15" t="n"/>
    </row>
    <row r="29" ht="15.75" customHeight="1" s="27">
      <c r="A29" s="12" t="inlineStr">
        <is>
          <t>BA-2.4</t>
        </is>
      </c>
      <c r="B29" s="12" t="inlineStr">
        <is>
          <t>Demo support / UAT support</t>
        </is>
      </c>
      <c r="C29" s="15" t="n">
        <v>4</v>
      </c>
      <c r="D29" s="15" t="n">
        <v>8</v>
      </c>
      <c r="E29" s="15" t="n">
        <v>16</v>
      </c>
      <c r="F29" s="16">
        <f>IF(AND(C29&lt;&gt;"",D29&lt;&gt;"",E29&lt;&gt;""),(C29+4*D29+E29)/6,0)</f>
        <v/>
      </c>
      <c r="G29" s="15" t="inlineStr">
        <is>
          <t>No</t>
        </is>
      </c>
      <c r="H29" s="16">
        <f>IF(G29="Yes",ROUND(D29*$B$7,1),0)</f>
        <v/>
      </c>
      <c r="I29" s="16">
        <f>F29+H29</f>
        <v/>
      </c>
      <c r="J29" s="15" t="inlineStr">
        <is>
          <t>Included</t>
        </is>
      </c>
      <c r="K29" s="15" t="inlineStr">
        <is>
          <t>Implementation</t>
        </is>
      </c>
      <c r="L29" s="15" t="n"/>
      <c r="M29" s="15" t="n"/>
      <c r="N29" s="15" t="n"/>
      <c r="O29" s="15" t="n"/>
    </row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29" showDropDown="0" showInputMessage="0" showErrorMessage="0" allowBlank="1" type="list">
      <formula1>"Discovery,Implementation,Post-MVP Enhancement,Maintenance"</formula1>
    </dataValidation>
    <dataValidation sqref="J12:J29" showDropDown="0" showInputMessage="0" showErrorMessage="0" allowBlank="1" type="list">
      <formula1>"Included,Not included,Post-MVP,Select"</formula1>
    </dataValidation>
    <dataValidation sqref="G12:G29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Architecture Estimation (SA + Software A)</t>
        </is>
      </c>
    </row>
    <row r="2" ht="48" customHeight="1" s="27">
      <c r="A2" s="7" t="inlineStr">
        <is>
          <t>Purpose:</t>
        </is>
      </c>
      <c r="B2" s="28" t="inlineStr">
        <is>
          <t>Catalogue of architecture deliverables — Architectural Drivers (AVD), Solution Architecture views (Context/Container/Component/Deployment), Decision/Risk records, Operation plan, Implementation roadmap. 30% contingency reflects design uncertainty.</t>
        </is>
      </c>
    </row>
    <row r="3" ht="48" customHeight="1" s="27">
      <c r="A3" s="7" t="inlineStr">
        <is>
          <t>How to use:</t>
        </is>
      </c>
      <c r="B3" s="28" t="inlineStr">
        <is>
          <t>(1) Per item, set O/ML/P. (2) Items left empty stay in the catalogue as a checklist of what was considered but not estimated (mark Include = Not included). (3) Use Apply Contingency = Yes for items requiring discovery workshops or third-party APIs. (4) Compliance items (OWASP, GDPR, PCI-DSS, HIPAA, SoX) are off by default — switch on if applicable.</t>
        </is>
      </c>
    </row>
    <row r="4" ht="30" customHeight="1" s="27">
      <c r="A4" s="7" t="inlineStr">
        <is>
          <t>Inputs:</t>
        </is>
      </c>
      <c r="B4" s="28" t="inlineStr">
        <is>
          <t>O/ML/P per row, Apply Contingency Y/N, Include, Phase, Deliverable, Description, Assumptions.</t>
        </is>
      </c>
    </row>
    <row r="5" ht="30" customHeight="1" s="27">
      <c r="A5" s="7" t="inlineStr">
        <is>
          <t>Outputs:</t>
        </is>
      </c>
      <c r="B5" s="28" t="inlineStr">
        <is>
          <t>Architecture roll-up flows to Buffers tab and then Headcount and Cost as 'Architecture (SA+SwA)' estimated hours.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(Architecture roll-up). Headcount and Cost.</t>
        </is>
      </c>
    </row>
    <row r="7">
      <c r="A7" s="14" t="inlineStr">
        <is>
          <t>Default contingency:</t>
        </is>
      </c>
      <c r="B7" s="23" t="n">
        <v>0.3</v>
      </c>
      <c r="C7" s="12" t="inlineStr">
        <is>
          <t>(used when Apply Contingency = Yes; multiplied by Most Likely)</t>
        </is>
      </c>
    </row>
    <row r="8">
      <c r="A8" s="5" t="inlineStr">
        <is>
          <t>Solution &amp; Software Architecture deliverables. Higher 30% contingency reflects design uncertainty.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SUM(C12:C46)</f>
        <v/>
      </c>
      <c r="D11" s="16">
        <f>SUM(D12:D46)</f>
        <v/>
      </c>
      <c r="E11" s="16">
        <f>SUM(E12:E46)</f>
        <v/>
      </c>
      <c r="F11" s="12">
        <f>SUM(F12:F46)</f>
        <v/>
      </c>
      <c r="H11" s="12">
        <f>SUM(H12:H46)</f>
        <v/>
      </c>
      <c r="I11" s="12">
        <f>SUMIF(J12:J46,"Included",I12:I46)</f>
        <v/>
      </c>
      <c r="J11" s="12" t="inlineStr">
        <is>
          <t>(only Included counted at right)</t>
        </is>
      </c>
    </row>
    <row r="12">
      <c r="A12" s="21" t="inlineStr">
        <is>
          <t>ARC-1</t>
        </is>
      </c>
      <c r="B12" s="21" t="inlineStr">
        <is>
          <t>Architectural Drivers (AVD)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ARC-1.1</t>
        </is>
      </c>
      <c r="B13" s="12" t="inlineStr">
        <is>
          <t>Business Goals</t>
        </is>
      </c>
      <c r="C13" s="15" t="n">
        <v>2</v>
      </c>
      <c r="D13" s="15" t="n">
        <v>2.5</v>
      </c>
      <c r="E13" s="15" t="n">
        <v>3</v>
      </c>
      <c r="F13" s="16">
        <f>IF(AND(C13&lt;&gt;"",D13&lt;&gt;"",E13&lt;&gt;""),(C13+4*D13+E13)/6,0)</f>
        <v/>
      </c>
      <c r="G13" s="15" t="inlineStr">
        <is>
          <t>No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inlineStr">
        <is>
          <t>AVD: Business Goals</t>
        </is>
      </c>
      <c r="M13" s="15" t="n"/>
      <c r="N13" s="15" t="n"/>
      <c r="O13" s="15" t="n"/>
    </row>
    <row r="14">
      <c r="A14" s="12" t="inlineStr">
        <is>
          <t>ARC-1.2</t>
        </is>
      </c>
      <c r="B14" s="12" t="inlineStr">
        <is>
          <t>Major Features</t>
        </is>
      </c>
      <c r="C14" s="15" t="n">
        <v>2</v>
      </c>
      <c r="D14" s="15" t="n">
        <v>2.5</v>
      </c>
      <c r="E14" s="15" t="n">
        <v>3</v>
      </c>
      <c r="F14" s="16">
        <f>IF(AND(C14&lt;&gt;"",D14&lt;&gt;"",E14&lt;&gt;""),(C14+4*D14+E14)/6,0)</f>
        <v/>
      </c>
      <c r="G14" s="15" t="inlineStr">
        <is>
          <t>No</t>
        </is>
      </c>
      <c r="H14" s="16">
        <f>IF(G14="Yes",ROUND(D14*$B$7,1),0)</f>
        <v/>
      </c>
      <c r="I14" s="16">
        <f>F14+H14</f>
        <v/>
      </c>
      <c r="J14" s="15" t="inlineStr">
        <is>
          <t>Included</t>
        </is>
      </c>
      <c r="K14" s="15" t="inlineStr">
        <is>
          <t>Discovery</t>
        </is>
      </c>
      <c r="L14" s="15" t="n"/>
      <c r="M14" s="15" t="n"/>
      <c r="N14" s="15" t="n"/>
      <c r="O14" s="15" t="n"/>
    </row>
    <row r="15">
      <c r="A15" s="12" t="inlineStr">
        <is>
          <t>ARC-1.3</t>
        </is>
      </c>
      <c r="B15" s="12" t="inlineStr">
        <is>
          <t>Design Constraints</t>
        </is>
      </c>
      <c r="C15" s="15" t="n">
        <v>2</v>
      </c>
      <c r="D15" s="15" t="n">
        <v>2.5</v>
      </c>
      <c r="E15" s="15" t="n">
        <v>3</v>
      </c>
      <c r="F15" s="16">
        <f>IF(AND(C15&lt;&gt;"",D15&lt;&gt;"",E15&lt;&gt;""),(C15+4*D15+E15)/6,0)</f>
        <v/>
      </c>
      <c r="G15" s="15" t="inlineStr">
        <is>
          <t>No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n"/>
      <c r="M15" s="15" t="n"/>
      <c r="N15" s="15" t="n"/>
      <c r="O15" s="15" t="n"/>
    </row>
    <row r="16">
      <c r="A16" s="12" t="inlineStr">
        <is>
          <t>ARC-1.4</t>
        </is>
      </c>
      <c r="B16" s="12" t="inlineStr">
        <is>
          <t>Architectural Concerns</t>
        </is>
      </c>
      <c r="C16" s="15" t="n">
        <v>2</v>
      </c>
      <c r="D16" s="15" t="n">
        <v>2.5</v>
      </c>
      <c r="E16" s="15" t="n">
        <v>3</v>
      </c>
      <c r="F16" s="16">
        <f>IF(AND(C16&lt;&gt;"",D16&lt;&gt;"",E16&lt;&gt;""),(C16+4*D16+E16)/6,0)</f>
        <v/>
      </c>
      <c r="G16" s="15" t="inlineStr">
        <is>
          <t>No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Discovery</t>
        </is>
      </c>
      <c r="L16" s="15" t="n"/>
      <c r="M16" s="15" t="n"/>
      <c r="N16" s="15" t="n"/>
      <c r="O16" s="15" t="n"/>
    </row>
    <row r="17">
      <c r="A17" s="12" t="inlineStr">
        <is>
          <t>ARC-1.5</t>
        </is>
      </c>
      <c r="B17" s="12" t="inlineStr">
        <is>
          <t>Quality Attributes (cross-cutting)</t>
        </is>
      </c>
      <c r="C17" s="15" t="n">
        <v>8</v>
      </c>
      <c r="D17" s="15" t="n">
        <v>10</v>
      </c>
      <c r="E17" s="15" t="n">
        <v>12</v>
      </c>
      <c r="F17" s="16">
        <f>IF(AND(C17&lt;&gt;"",D17&lt;&gt;"",E17&lt;&gt;""),(C17+4*D17+E17)/6,0)</f>
        <v/>
      </c>
      <c r="G17" s="15" t="inlineStr">
        <is>
          <t>Yes</t>
        </is>
      </c>
      <c r="H17" s="16">
        <f>IF(G17="Yes",ROUND(D17*$B$7,1),0)</f>
        <v/>
      </c>
      <c r="I17" s="16">
        <f>F17+H17</f>
        <v/>
      </c>
      <c r="J17" s="15" t="inlineStr">
        <is>
          <t>Included</t>
        </is>
      </c>
      <c r="K17" s="15" t="inlineStr">
        <is>
          <t>Discovery</t>
        </is>
      </c>
      <c r="L17" s="15" t="n"/>
      <c r="M17" s="15" t="inlineStr">
        <is>
          <t>Availability, Performance, Observability, Scalability, Localization, Fault Tolerance, Recoverability, Security (App + Code), Extendability, Maintainability</t>
        </is>
      </c>
      <c r="N17" s="15" t="n"/>
      <c r="O17" s="15" t="n"/>
    </row>
    <row r="18">
      <c r="A18" s="12" t="inlineStr">
        <is>
          <t>ARC-1.6</t>
        </is>
      </c>
      <c r="B18" s="12" t="inlineStr">
        <is>
          <t>Compliance scope (OWASP/GDPR/PCI/HIPAA/SoX)</t>
        </is>
      </c>
      <c r="C18" s="15" t="n">
        <v>0</v>
      </c>
      <c r="D18" s="15" t="n">
        <v>0</v>
      </c>
      <c r="E18" s="15" t="n">
        <v>0</v>
      </c>
      <c r="F18" s="16">
        <f>IF(AND(C18&lt;&gt;"",D18&lt;&gt;"",E18&lt;&gt;""),(C18+4*D18+E18)/6,0)</f>
        <v/>
      </c>
      <c r="G18" s="15" t="inlineStr">
        <is>
          <t>No</t>
        </is>
      </c>
      <c r="H18" s="16">
        <f>IF(G18="Yes",ROUND(D18*$B$7,1),0)</f>
        <v/>
      </c>
      <c r="I18" s="16">
        <f>F18+H18</f>
        <v/>
      </c>
      <c r="J18" s="15" t="inlineStr">
        <is>
          <t>Not included</t>
        </is>
      </c>
      <c r="K18" s="15" t="inlineStr">
        <is>
          <t>Discovery</t>
        </is>
      </c>
      <c r="L18" s="15" t="n"/>
      <c r="M18" s="15" t="inlineStr">
        <is>
          <t>Estimated separately per applicable regulation</t>
        </is>
      </c>
      <c r="N18" s="15" t="n"/>
      <c r="O18" s="15" t="n"/>
    </row>
    <row r="19">
      <c r="A19" s="21" t="inlineStr">
        <is>
          <t>ARC-2</t>
        </is>
      </c>
      <c r="B19" s="21" t="inlineStr">
        <is>
          <t>Solution Architecture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12" t="inlineStr">
        <is>
          <t>ARC-2.1</t>
        </is>
      </c>
      <c r="B20" s="12" t="inlineStr">
        <is>
          <t>System Context View</t>
        </is>
      </c>
      <c r="C20" s="15" t="n">
        <v>2</v>
      </c>
      <c r="D20" s="15" t="n">
        <v>4</v>
      </c>
      <c r="E20" s="15" t="n">
        <v>6</v>
      </c>
      <c r="F20" s="16">
        <f>IF(AND(C20&lt;&gt;"",D20&lt;&gt;"",E20&lt;&gt;""),(C20+4*D20+E20)/6,0)</f>
        <v/>
      </c>
      <c r="G20" s="15" t="inlineStr">
        <is>
          <t>No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Discovery</t>
        </is>
      </c>
      <c r="L20" s="15" t="n"/>
      <c r="M20" s="15" t="n"/>
      <c r="N20" s="15" t="n"/>
      <c r="O20" s="15" t="n"/>
    </row>
    <row r="21" ht="15.75" customHeight="1" s="27">
      <c r="A21" s="12" t="inlineStr">
        <is>
          <t>ARC-2.2</t>
        </is>
      </c>
      <c r="B21" s="12" t="inlineStr">
        <is>
          <t>Container View</t>
        </is>
      </c>
      <c r="C21" s="15" t="n">
        <v>4</v>
      </c>
      <c r="D21" s="15" t="n">
        <v>6</v>
      </c>
      <c r="E21" s="15" t="n">
        <v>8</v>
      </c>
      <c r="F21" s="16">
        <f>IF(AND(C21&lt;&gt;"",D21&lt;&gt;"",E21&lt;&gt;""),(C21+4*D21+E21)/6,0)</f>
        <v/>
      </c>
      <c r="G21" s="15" t="inlineStr">
        <is>
          <t>No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Discovery</t>
        </is>
      </c>
      <c r="L21" s="15" t="n"/>
      <c r="M21" s="15" t="n"/>
      <c r="N21" s="15" t="n"/>
      <c r="O21" s="15" t="n"/>
    </row>
    <row r="22" ht="15.75" customHeight="1" s="27">
      <c r="A22" s="12" t="inlineStr">
        <is>
          <t>ARC-2.3</t>
        </is>
      </c>
      <c r="B22" s="12" t="inlineStr">
        <is>
          <t>Component View — Front-end</t>
        </is>
      </c>
      <c r="C22" s="15" t="n">
        <v>1</v>
      </c>
      <c r="D22" s="15" t="n">
        <v>3</v>
      </c>
      <c r="E22" s="15" t="n">
        <v>4</v>
      </c>
      <c r="F22" s="16">
        <f>IF(AND(C22&lt;&gt;"",D22&lt;&gt;"",E22&lt;&gt;""),(C22+4*D22+E22)/6,0)</f>
        <v/>
      </c>
      <c r="G22" s="15" t="inlineStr">
        <is>
          <t>No</t>
        </is>
      </c>
      <c r="H22" s="16">
        <f>IF(G22="Yes",ROUND(D22*$B$7,1),0)</f>
        <v/>
      </c>
      <c r="I22" s="16">
        <f>F22+H22</f>
        <v/>
      </c>
      <c r="J22" s="15" t="inlineStr">
        <is>
          <t>Not included</t>
        </is>
      </c>
      <c r="K22" s="15" t="inlineStr">
        <is>
          <t>Discovery</t>
        </is>
      </c>
      <c r="L22" s="15" t="n"/>
      <c r="M22" s="15" t="n"/>
      <c r="N22" s="15" t="n"/>
      <c r="O22" s="15" t="n"/>
    </row>
    <row r="23" ht="15.75" customHeight="1" s="27">
      <c r="A23" s="12" t="inlineStr">
        <is>
          <t>ARC-2.4</t>
        </is>
      </c>
      <c r="B23" s="12" t="inlineStr">
        <is>
          <t>Component View — Back-end</t>
        </is>
      </c>
      <c r="C23" s="15" t="n">
        <v>3</v>
      </c>
      <c r="D23" s="15" t="n">
        <v>6</v>
      </c>
      <c r="E23" s="15" t="n">
        <v>8</v>
      </c>
      <c r="F23" s="16">
        <f>IF(AND(C23&lt;&gt;"",D23&lt;&gt;"",E23&lt;&gt;""),(C23+4*D23+E23)/6,0)</f>
        <v/>
      </c>
      <c r="G23" s="15" t="inlineStr">
        <is>
          <t>Yes</t>
        </is>
      </c>
      <c r="H23" s="16">
        <f>IF(G23="Yes",ROUND(D23*$B$7,1),0)</f>
        <v/>
      </c>
      <c r="I23" s="16">
        <f>F23+H23</f>
        <v/>
      </c>
      <c r="J23" s="15" t="inlineStr">
        <is>
          <t>Included</t>
        </is>
      </c>
      <c r="K23" s="15" t="inlineStr">
        <is>
          <t>Discovery</t>
        </is>
      </c>
      <c r="L23" s="15" t="n"/>
      <c r="M23" s="15" t="n"/>
      <c r="N23" s="15" t="n"/>
      <c r="O23" s="15" t="n"/>
    </row>
    <row r="24" ht="15.75" customHeight="1" s="27">
      <c r="A24" s="12" t="inlineStr">
        <is>
          <t>ARC-2.5</t>
        </is>
      </c>
      <c r="B24" s="12" t="inlineStr">
        <is>
          <t>Epic-level architectural design</t>
        </is>
      </c>
      <c r="C24" s="15" t="n">
        <v>16</v>
      </c>
      <c r="D24" s="15" t="n">
        <v>18</v>
      </c>
      <c r="E24" s="15" t="n">
        <v>20</v>
      </c>
      <c r="F24" s="16">
        <f>IF(AND(C24&lt;&gt;"",D24&lt;&gt;"",E24&lt;&gt;""),(C24+4*D24+E24)/6,0)</f>
        <v/>
      </c>
      <c r="G24" s="15" t="inlineStr">
        <is>
          <t>Yes</t>
        </is>
      </c>
      <c r="H24" s="16">
        <f>IF(G24="Yes",ROUND(D24*$B$7,1),0)</f>
        <v/>
      </c>
      <c r="I24" s="16">
        <f>F24+H24</f>
        <v/>
      </c>
      <c r="J24" s="15" t="inlineStr">
        <is>
          <t>Included</t>
        </is>
      </c>
      <c r="K24" s="15" t="inlineStr">
        <is>
          <t>Discovery</t>
        </is>
      </c>
      <c r="L24" s="15" t="n"/>
      <c r="M24" s="15" t="n"/>
      <c r="N24" s="15" t="n"/>
      <c r="O24" s="15" t="n"/>
    </row>
    <row r="25" ht="15.75" customHeight="1" s="27">
      <c r="A25" s="12" t="inlineStr">
        <is>
          <t>ARC-2.6</t>
        </is>
      </c>
      <c r="B25" s="12" t="inlineStr">
        <is>
          <t>Deployment View</t>
        </is>
      </c>
      <c r="C25" s="15" t="n">
        <v>4</v>
      </c>
      <c r="D25" s="15" t="n">
        <v>8</v>
      </c>
      <c r="E25" s="15" t="n">
        <v>10</v>
      </c>
      <c r="F25" s="16">
        <f>IF(AND(C25&lt;&gt;"",D25&lt;&gt;"",E25&lt;&gt;""),(C25+4*D25+E25)/6,0)</f>
        <v/>
      </c>
      <c r="G25" s="15" t="inlineStr">
        <is>
          <t>Yes</t>
        </is>
      </c>
      <c r="H25" s="16">
        <f>IF(G25="Yes",ROUND(D25*$B$7,1),0)</f>
        <v/>
      </c>
      <c r="I25" s="16">
        <f>F25+H25</f>
        <v/>
      </c>
      <c r="J25" s="15" t="inlineStr">
        <is>
          <t>Included</t>
        </is>
      </c>
      <c r="K25" s="15" t="inlineStr">
        <is>
          <t>Discovery</t>
        </is>
      </c>
      <c r="L25" s="15" t="n"/>
      <c r="M25" s="15" t="n"/>
      <c r="N25" s="15" t="n"/>
      <c r="O25" s="15" t="n"/>
    </row>
    <row r="26" ht="15.75" customHeight="1" s="27">
      <c r="A26" s="12" t="inlineStr">
        <is>
          <t>ARC-2.7</t>
        </is>
      </c>
      <c r="B26" s="12" t="inlineStr">
        <is>
          <t>Decision View / ADRs</t>
        </is>
      </c>
      <c r="C26" s="15" t="n">
        <v>4</v>
      </c>
      <c r="D26" s="15" t="n">
        <v>6</v>
      </c>
      <c r="E26" s="15" t="n">
        <v>8</v>
      </c>
      <c r="F26" s="16">
        <f>IF(AND(C26&lt;&gt;"",D26&lt;&gt;"",E26&lt;&gt;""),(C26+4*D26+E26)/6,0)</f>
        <v/>
      </c>
      <c r="G26" s="15" t="inlineStr">
        <is>
          <t>No</t>
        </is>
      </c>
      <c r="H26" s="16">
        <f>IF(G26="Yes",ROUND(D26*$B$7,1),0)</f>
        <v/>
      </c>
      <c r="I26" s="16">
        <f>F26+H26</f>
        <v/>
      </c>
      <c r="J26" s="15" t="inlineStr">
        <is>
          <t>Not included</t>
        </is>
      </c>
      <c r="K26" s="15" t="inlineStr">
        <is>
          <t>Discovery</t>
        </is>
      </c>
      <c r="L26" s="15" t="n"/>
      <c r="M26" s="15" t="n"/>
      <c r="N26" s="15" t="n"/>
      <c r="O26" s="15" t="n"/>
    </row>
    <row r="27" ht="15.75" customHeight="1" s="27">
      <c r="A27" s="12" t="inlineStr">
        <is>
          <t>ARC-2.8</t>
        </is>
      </c>
      <c r="B27" s="12" t="inlineStr">
        <is>
          <t>Risk View / Risk Record</t>
        </is>
      </c>
      <c r="C27" s="15" t="n">
        <v>4</v>
      </c>
      <c r="D27" s="15" t="n">
        <v>6</v>
      </c>
      <c r="E27" s="15" t="n">
        <v>8</v>
      </c>
      <c r="F27" s="16">
        <f>IF(AND(C27&lt;&gt;"",D27&lt;&gt;"",E27&lt;&gt;""),(C27+4*D27+E27)/6,0)</f>
        <v/>
      </c>
      <c r="G27" s="15" t="inlineStr">
        <is>
          <t>No</t>
        </is>
      </c>
      <c r="H27" s="16">
        <f>IF(G27="Yes",ROUND(D27*$B$7,1),0)</f>
        <v/>
      </c>
      <c r="I27" s="16">
        <f>F27+H27</f>
        <v/>
      </c>
      <c r="J27" s="15" t="inlineStr">
        <is>
          <t>Included</t>
        </is>
      </c>
      <c r="K27" s="15" t="inlineStr">
        <is>
          <t>Discovery</t>
        </is>
      </c>
      <c r="L27" s="15" t="n"/>
      <c r="M27" s="15" t="n"/>
      <c r="N27" s="15" t="n"/>
      <c r="O27" s="15" t="n"/>
    </row>
    <row r="28" ht="15.75" customHeight="1" s="27">
      <c r="A28" s="21" t="inlineStr">
        <is>
          <t>ARC-3</t>
        </is>
      </c>
      <c r="B28" s="21" t="inlineStr">
        <is>
          <t>Operation plan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27">
      <c r="A29" s="12" t="inlineStr">
        <is>
          <t>ARC-3.1</t>
        </is>
      </c>
      <c r="B29" s="12" t="inlineStr">
        <is>
          <t>Infrastructure model</t>
        </is>
      </c>
      <c r="C29" s="15" t="n">
        <v>2</v>
      </c>
      <c r="D29" s="15" t="n">
        <v>5</v>
      </c>
      <c r="E29" s="15" t="n">
        <v>4</v>
      </c>
      <c r="F29" s="16">
        <f>IF(AND(C29&lt;&gt;"",D29&lt;&gt;"",E29&lt;&gt;""),(C29+4*D29+E29)/6,0)</f>
        <v/>
      </c>
      <c r="G29" s="15" t="inlineStr">
        <is>
          <t>Yes</t>
        </is>
      </c>
      <c r="H29" s="16">
        <f>IF(G29="Yes",ROUND(D29*$B$7,1),0)</f>
        <v/>
      </c>
      <c r="I29" s="16">
        <f>F29+H29</f>
        <v/>
      </c>
      <c r="J29" s="15" t="inlineStr">
        <is>
          <t>Included</t>
        </is>
      </c>
      <c r="K29" s="15" t="inlineStr">
        <is>
          <t>Discovery</t>
        </is>
      </c>
      <c r="L29" s="15" t="n"/>
      <c r="M29" s="15" t="n"/>
      <c r="N29" s="15" t="n"/>
      <c r="O29" s="15" t="n"/>
    </row>
    <row r="30" ht="15.75" customHeight="1" s="27">
      <c r="A30" s="12" t="inlineStr">
        <is>
          <t>ARC-3.2</t>
        </is>
      </c>
      <c r="B30" s="12" t="inlineStr">
        <is>
          <t>Continuous integration / continuous delivery</t>
        </is>
      </c>
      <c r="C30" s="15" t="n">
        <v>2</v>
      </c>
      <c r="D30" s="15" t="n">
        <v>5</v>
      </c>
      <c r="E30" s="15" t="n">
        <v>4</v>
      </c>
      <c r="F30" s="16">
        <f>IF(AND(C30&lt;&gt;"",D30&lt;&gt;"",E30&lt;&gt;""),(C30+4*D30+E30)/6,0)</f>
        <v/>
      </c>
      <c r="G30" s="15" t="inlineStr">
        <is>
          <t>Yes</t>
        </is>
      </c>
      <c r="H30" s="16">
        <f>IF(G30="Yes",ROUND(D30*$B$7,1),0)</f>
        <v/>
      </c>
      <c r="I30" s="16">
        <f>F30+H30</f>
        <v/>
      </c>
      <c r="J30" s="15" t="inlineStr">
        <is>
          <t>Included</t>
        </is>
      </c>
      <c r="K30" s="15" t="inlineStr">
        <is>
          <t>Discovery</t>
        </is>
      </c>
      <c r="L30" s="15" t="n"/>
      <c r="M30" s="15" t="n"/>
      <c r="N30" s="15" t="n"/>
      <c r="O30" s="15" t="n"/>
    </row>
    <row r="31" ht="15.75" customHeight="1" s="27">
      <c r="A31" s="12" t="inlineStr">
        <is>
          <t>ARC-3.3</t>
        </is>
      </c>
      <c r="B31" s="12" t="inlineStr">
        <is>
          <t>Monitoring / Observability</t>
        </is>
      </c>
      <c r="C31" s="15" t="n">
        <v>2</v>
      </c>
      <c r="D31" s="15" t="n">
        <v>5</v>
      </c>
      <c r="E31" s="15" t="n">
        <v>4</v>
      </c>
      <c r="F31" s="16">
        <f>IF(AND(C31&lt;&gt;"",D31&lt;&gt;"",E31&lt;&gt;""),(C31+4*D31+E31)/6,0)</f>
        <v/>
      </c>
      <c r="G31" s="15" t="inlineStr">
        <is>
          <t>Yes</t>
        </is>
      </c>
      <c r="H31" s="16">
        <f>IF(G31="Yes",ROUND(D31*$B$7,1),0)</f>
        <v/>
      </c>
      <c r="I31" s="16">
        <f>F31+H31</f>
        <v/>
      </c>
      <c r="J31" s="15" t="inlineStr">
        <is>
          <t>Included</t>
        </is>
      </c>
      <c r="K31" s="15" t="inlineStr">
        <is>
          <t>Discovery</t>
        </is>
      </c>
      <c r="L31" s="15" t="n"/>
      <c r="M31" s="15" t="n"/>
      <c r="N31" s="15" t="n"/>
      <c r="O31" s="15" t="n"/>
    </row>
    <row r="32" ht="15.75" customHeight="1" s="27">
      <c r="A32" s="12" t="inlineStr">
        <is>
          <t>ARC-3.4</t>
        </is>
      </c>
      <c r="B32" s="12" t="inlineStr">
        <is>
          <t>Secure SDLC concepts</t>
        </is>
      </c>
      <c r="C32" s="15" t="n">
        <v>2</v>
      </c>
      <c r="D32" s="15" t="n">
        <v>5</v>
      </c>
      <c r="E32" s="15" t="n">
        <v>4</v>
      </c>
      <c r="F32" s="16">
        <f>IF(AND(C32&lt;&gt;"",D32&lt;&gt;"",E32&lt;&gt;""),(C32+4*D32+E32)/6,0)</f>
        <v/>
      </c>
      <c r="G32" s="15" t="inlineStr">
        <is>
          <t>No</t>
        </is>
      </c>
      <c r="H32" s="16">
        <f>IF(G32="Yes",ROUND(D32*$B$7,1),0)</f>
        <v/>
      </c>
      <c r="I32" s="16">
        <f>F32+H32</f>
        <v/>
      </c>
      <c r="J32" s="15" t="inlineStr">
        <is>
          <t>Included</t>
        </is>
      </c>
      <c r="K32" s="15" t="inlineStr">
        <is>
          <t>Discovery</t>
        </is>
      </c>
      <c r="L32" s="15" t="n"/>
      <c r="M32" s="15" t="n"/>
      <c r="N32" s="15" t="n"/>
      <c r="O32" s="15" t="n"/>
    </row>
    <row r="33" ht="15.75" customHeight="1" s="27">
      <c r="A33" s="12" t="inlineStr">
        <is>
          <t>ARC-3.5</t>
        </is>
      </c>
      <c r="B33" s="12" t="inlineStr">
        <is>
          <t>Backup &amp; restore</t>
        </is>
      </c>
      <c r="C33" s="15" t="n">
        <v>2</v>
      </c>
      <c r="D33" s="15" t="n">
        <v>5</v>
      </c>
      <c r="E33" s="15" t="n">
        <v>4</v>
      </c>
      <c r="F33" s="16">
        <f>IF(AND(C33&lt;&gt;"",D33&lt;&gt;"",E33&lt;&gt;""),(C33+4*D33+E33)/6,0)</f>
        <v/>
      </c>
      <c r="G33" s="15" t="inlineStr">
        <is>
          <t>No</t>
        </is>
      </c>
      <c r="H33" s="16">
        <f>IF(G33="Yes",ROUND(D33*$B$7,1),0)</f>
        <v/>
      </c>
      <c r="I33" s="16">
        <f>F33+H33</f>
        <v/>
      </c>
      <c r="J33" s="15" t="inlineStr">
        <is>
          <t>Included</t>
        </is>
      </c>
      <c r="K33" s="15" t="inlineStr">
        <is>
          <t>Discovery</t>
        </is>
      </c>
      <c r="L33" s="15" t="n"/>
      <c r="M33" s="15" t="n"/>
      <c r="N33" s="15" t="n"/>
      <c r="O33" s="15" t="n"/>
    </row>
    <row r="34" ht="15.75" customHeight="1" s="27">
      <c r="A34" s="21" t="inlineStr">
        <is>
          <t>ARC-4</t>
        </is>
      </c>
      <c r="B34" s="21" t="inlineStr">
        <is>
          <t>Implementation Roadmap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5.75" customHeight="1" s="27">
      <c r="A35" s="12" t="inlineStr">
        <is>
          <t>ARC-4.1</t>
        </is>
      </c>
      <c r="B35" s="12" t="inlineStr">
        <is>
          <t>Implementation Milestones</t>
        </is>
      </c>
      <c r="C35" s="15" t="n">
        <v>2</v>
      </c>
      <c r="D35" s="15" t="n">
        <v>3</v>
      </c>
      <c r="E35" s="15" t="n">
        <v>4</v>
      </c>
      <c r="F35" s="16">
        <f>IF(AND(C35&lt;&gt;"",D35&lt;&gt;"",E35&lt;&gt;""),(C35+4*D35+E35)/6,0)</f>
        <v/>
      </c>
      <c r="G35" s="15" t="inlineStr">
        <is>
          <t>No</t>
        </is>
      </c>
      <c r="H35" s="16">
        <f>IF(G35="Yes",ROUND(D35*$B$7,1),0)</f>
        <v/>
      </c>
      <c r="I35" s="16">
        <f>F35+H35</f>
        <v/>
      </c>
      <c r="J35" s="15" t="inlineStr">
        <is>
          <t>Included</t>
        </is>
      </c>
      <c r="K35" s="15" t="inlineStr">
        <is>
          <t>Discovery</t>
        </is>
      </c>
      <c r="L35" s="15" t="n"/>
      <c r="M35" s="15" t="n"/>
      <c r="N35" s="15" t="n"/>
      <c r="O35" s="15" t="n"/>
    </row>
    <row r="36" ht="15.75" customHeight="1" s="27">
      <c r="A36" s="12" t="inlineStr">
        <is>
          <t>ARC-4.2</t>
        </is>
      </c>
      <c r="B36" s="12" t="inlineStr">
        <is>
          <t>Development technology stack</t>
        </is>
      </c>
      <c r="C36" s="15" t="n">
        <v>1</v>
      </c>
      <c r="D36" s="15" t="n">
        <v>1.5</v>
      </c>
      <c r="E36" s="15" t="n">
        <v>2</v>
      </c>
      <c r="F36" s="16">
        <f>IF(AND(C36&lt;&gt;"",D36&lt;&gt;"",E36&lt;&gt;""),(C36+4*D36+E36)/6,0)</f>
        <v/>
      </c>
      <c r="G36" s="15" t="inlineStr">
        <is>
          <t>No</t>
        </is>
      </c>
      <c r="H36" s="16">
        <f>IF(G36="Yes",ROUND(D36*$B$7,1),0)</f>
        <v/>
      </c>
      <c r="I36" s="16">
        <f>F36+H36</f>
        <v/>
      </c>
      <c r="J36" s="15" t="inlineStr">
        <is>
          <t>Included</t>
        </is>
      </c>
      <c r="K36" s="15" t="inlineStr">
        <is>
          <t>Discovery</t>
        </is>
      </c>
      <c r="L36" s="15" t="n"/>
      <c r="M36" s="15" t="n"/>
      <c r="N36" s="15" t="n"/>
      <c r="O36" s="15" t="n"/>
    </row>
    <row r="37" ht="15.75" customHeight="1" s="27">
      <c r="A37" s="12" t="inlineStr">
        <is>
          <t>ARC-4.3</t>
        </is>
      </c>
      <c r="B37" s="12" t="inlineStr">
        <is>
          <t>Estimation: structure &amp; validation</t>
        </is>
      </c>
      <c r="C37" s="15" t="n">
        <v>8</v>
      </c>
      <c r="D37" s="15" t="n">
        <v>11</v>
      </c>
      <c r="E37" s="15" t="n">
        <v>10</v>
      </c>
      <c r="F37" s="16">
        <f>IF(AND(C37&lt;&gt;"",D37&lt;&gt;"",E37&lt;&gt;""),(C37+4*D37+E37)/6,0)</f>
        <v/>
      </c>
      <c r="G37" s="15" t="inlineStr">
        <is>
          <t>No</t>
        </is>
      </c>
      <c r="H37" s="16">
        <f>IF(G37="Yes",ROUND(D37*$B$7,1),0)</f>
        <v/>
      </c>
      <c r="I37" s="16">
        <f>F37+H37</f>
        <v/>
      </c>
      <c r="J37" s="15" t="inlineStr">
        <is>
          <t>Included</t>
        </is>
      </c>
      <c r="K37" s="15" t="inlineStr">
        <is>
          <t>Discovery</t>
        </is>
      </c>
      <c r="L37" s="15" t="n"/>
      <c r="M37" s="15" t="n"/>
      <c r="N37" s="15" t="n"/>
      <c r="O37" s="15" t="n"/>
    </row>
    <row r="38" ht="15.75" customHeight="1" s="27">
      <c r="A38" s="12" t="inlineStr">
        <is>
          <t>ARC-4.4</t>
        </is>
      </c>
      <c r="B38" s="12" t="inlineStr">
        <is>
          <t>Development team skillset</t>
        </is>
      </c>
      <c r="C38" s="15" t="n">
        <v>1</v>
      </c>
      <c r="D38" s="15" t="n">
        <v>1.5</v>
      </c>
      <c r="E38" s="15" t="n">
        <v>2</v>
      </c>
      <c r="F38" s="16">
        <f>IF(AND(C38&lt;&gt;"",D38&lt;&gt;"",E38&lt;&gt;""),(C38+4*D38+E38)/6,0)</f>
        <v/>
      </c>
      <c r="G38" s="15" t="inlineStr">
        <is>
          <t>No</t>
        </is>
      </c>
      <c r="H38" s="16">
        <f>IF(G38="Yes",ROUND(D38*$B$7,1),0)</f>
        <v/>
      </c>
      <c r="I38" s="16">
        <f>F38+H38</f>
        <v/>
      </c>
      <c r="J38" s="15" t="inlineStr">
        <is>
          <t>Included</t>
        </is>
      </c>
      <c r="K38" s="15" t="inlineStr">
        <is>
          <t>Discovery</t>
        </is>
      </c>
      <c r="L38" s="15" t="n"/>
      <c r="M38" s="15" t="n"/>
      <c r="N38" s="15" t="n"/>
      <c r="O38" s="15" t="n"/>
    </row>
    <row r="39" ht="15.75" customHeight="1" s="27">
      <c r="A39" s="21" t="inlineStr">
        <is>
          <t>ARC-5</t>
        </is>
      </c>
      <c r="B39" s="21" t="inlineStr">
        <is>
          <t>Discovery workshops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</row>
    <row r="40" ht="15.75" customHeight="1" s="27">
      <c r="A40" s="12" t="inlineStr">
        <is>
          <t>ARC-5.1</t>
        </is>
      </c>
      <c r="B40" s="12" t="inlineStr">
        <is>
          <t>Discovery questions preparation</t>
        </is>
      </c>
      <c r="C40" s="15" t="n">
        <v>8</v>
      </c>
      <c r="D40" s="15" t="n">
        <v>12</v>
      </c>
      <c r="E40" s="15" t="n">
        <v>16</v>
      </c>
      <c r="F40" s="16">
        <f>IF(AND(C40&lt;&gt;"",D40&lt;&gt;"",E40&lt;&gt;""),(C40+4*D40+E40)/6,0)</f>
        <v/>
      </c>
      <c r="G40" s="15" t="inlineStr">
        <is>
          <t>Yes</t>
        </is>
      </c>
      <c r="H40" s="16">
        <f>IF(G40="Yes",ROUND(D40*$B$7,1),0)</f>
        <v/>
      </c>
      <c r="I40" s="16">
        <f>F40+H40</f>
        <v/>
      </c>
      <c r="J40" s="15" t="inlineStr">
        <is>
          <t>Included</t>
        </is>
      </c>
      <c r="K40" s="15" t="inlineStr">
        <is>
          <t>Discovery</t>
        </is>
      </c>
      <c r="L40" s="15" t="n"/>
      <c r="M40" s="15" t="n"/>
      <c r="N40" s="15" t="n"/>
      <c r="O40" s="15" t="n"/>
    </row>
    <row r="41" ht="15.75" customHeight="1" s="27">
      <c r="A41" s="12" t="inlineStr">
        <is>
          <t>ARC-5.2</t>
        </is>
      </c>
      <c r="B41" s="12" t="inlineStr">
        <is>
          <t>AVD draft / 1st review</t>
        </is>
      </c>
      <c r="C41" s="15" t="n">
        <v>8</v>
      </c>
      <c r="D41" s="15" t="n">
        <v>12</v>
      </c>
      <c r="E41" s="15" t="n">
        <v>16</v>
      </c>
      <c r="F41" s="16">
        <f>IF(AND(C41&lt;&gt;"",D41&lt;&gt;"",E41&lt;&gt;""),(C41+4*D41+E41)/6,0)</f>
        <v/>
      </c>
      <c r="G41" s="15" t="inlineStr">
        <is>
          <t>No</t>
        </is>
      </c>
      <c r="H41" s="16">
        <f>IF(G41="Yes",ROUND(D41*$B$7,1),0)</f>
        <v/>
      </c>
      <c r="I41" s="16">
        <f>F41+H41</f>
        <v/>
      </c>
      <c r="J41" s="15" t="inlineStr">
        <is>
          <t>Included</t>
        </is>
      </c>
      <c r="K41" s="15" t="inlineStr">
        <is>
          <t>Discovery</t>
        </is>
      </c>
      <c r="L41" s="15" t="n"/>
      <c r="M41" s="15" t="n"/>
      <c r="N41" s="15" t="n"/>
      <c r="O41" s="15" t="n"/>
    </row>
    <row r="42" ht="15.75" customHeight="1" s="27">
      <c r="A42" s="12" t="inlineStr">
        <is>
          <t>ARC-5.3</t>
        </is>
      </c>
      <c r="B42" s="12" t="inlineStr">
        <is>
          <t>Internal peer review</t>
        </is>
      </c>
      <c r="C42" s="15" t="n">
        <v>4</v>
      </c>
      <c r="D42" s="15" t="n">
        <v>6</v>
      </c>
      <c r="E42" s="15" t="n">
        <v>8</v>
      </c>
      <c r="F42" s="16">
        <f>IF(AND(C42&lt;&gt;"",D42&lt;&gt;"",E42&lt;&gt;""),(C42+4*D42+E42)/6,0)</f>
        <v/>
      </c>
      <c r="G42" s="15" t="inlineStr">
        <is>
          <t>No</t>
        </is>
      </c>
      <c r="H42" s="16">
        <f>IF(G42="Yes",ROUND(D42*$B$7,1),0)</f>
        <v/>
      </c>
      <c r="I42" s="16">
        <f>F42+H42</f>
        <v/>
      </c>
      <c r="J42" s="15" t="inlineStr">
        <is>
          <t>Included</t>
        </is>
      </c>
      <c r="K42" s="15" t="inlineStr">
        <is>
          <t>Discovery</t>
        </is>
      </c>
      <c r="L42" s="15" t="n"/>
      <c r="M42" s="15" t="n"/>
      <c r="N42" s="15" t="n"/>
      <c r="O42" s="15" t="n"/>
    </row>
    <row r="43" ht="15.75" customHeight="1" s="27">
      <c r="A43" s="21" t="inlineStr">
        <is>
          <t>ARC-6</t>
        </is>
      </c>
      <c r="B43" s="21" t="inlineStr">
        <is>
          <t>Implementation phase support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27">
      <c r="A44" s="12" t="inlineStr">
        <is>
          <t>ARC-6.1</t>
        </is>
      </c>
      <c r="B44" s="12" t="inlineStr">
        <is>
          <t>Architecture governance &amp; ADRs</t>
        </is>
      </c>
      <c r="C44" s="15" t="n">
        <v>8</v>
      </c>
      <c r="D44" s="15" t="n">
        <v>16</v>
      </c>
      <c r="E44" s="15" t="n">
        <v>24</v>
      </c>
      <c r="F44" s="16">
        <f>IF(AND(C44&lt;&gt;"",D44&lt;&gt;"",E44&lt;&gt;""),(C44+4*D44+E44)/6,0)</f>
        <v/>
      </c>
      <c r="G44" s="15" t="inlineStr">
        <is>
          <t>No</t>
        </is>
      </c>
      <c r="H44" s="16">
        <f>IF(G44="Yes",ROUND(D44*$B$7,1),0)</f>
        <v/>
      </c>
      <c r="I44" s="16">
        <f>F44+H44</f>
        <v/>
      </c>
      <c r="J44" s="15" t="inlineStr">
        <is>
          <t>Included</t>
        </is>
      </c>
      <c r="K44" s="15" t="inlineStr">
        <is>
          <t>Implementation</t>
        </is>
      </c>
      <c r="L44" s="15" t="n"/>
      <c r="M44" s="15" t="n"/>
      <c r="N44" s="15" t="n"/>
      <c r="O44" s="15" t="n"/>
    </row>
    <row r="45" ht="15.75" customHeight="1" s="27">
      <c r="A45" s="12" t="inlineStr">
        <is>
          <t>ARC-6.2</t>
        </is>
      </c>
      <c r="B45" s="12" t="inlineStr">
        <is>
          <t>Tech debt review / risks reassessment</t>
        </is>
      </c>
      <c r="C45" s="15" t="n">
        <v>4</v>
      </c>
      <c r="D45" s="15" t="n">
        <v>8</v>
      </c>
      <c r="E45" s="15" t="n">
        <v>16</v>
      </c>
      <c r="F45" s="16">
        <f>IF(AND(C45&lt;&gt;"",D45&lt;&gt;"",E45&lt;&gt;""),(C45+4*D45+E45)/6,0)</f>
        <v/>
      </c>
      <c r="G45" s="15" t="inlineStr">
        <is>
          <t>No</t>
        </is>
      </c>
      <c r="H45" s="16">
        <f>IF(G45="Yes",ROUND(D45*$B$7,1),0)</f>
        <v/>
      </c>
      <c r="I45" s="16">
        <f>F45+H45</f>
        <v/>
      </c>
      <c r="J45" s="15" t="inlineStr">
        <is>
          <t>Included</t>
        </is>
      </c>
      <c r="K45" s="15" t="inlineStr">
        <is>
          <t>Implementation</t>
        </is>
      </c>
      <c r="L45" s="15" t="n"/>
      <c r="M45" s="15" t="n"/>
      <c r="N45" s="15" t="n"/>
      <c r="O45" s="15" t="n"/>
    </row>
    <row r="46" ht="15.75" customHeight="1" s="27">
      <c r="A46" s="12" t="inlineStr">
        <is>
          <t>ARC-6.3</t>
        </is>
      </c>
      <c r="B46" s="12" t="inlineStr">
        <is>
          <t>Sprint architecture support</t>
        </is>
      </c>
      <c r="C46" s="15" t="n">
        <v>4</v>
      </c>
      <c r="D46" s="15" t="n">
        <v>8</v>
      </c>
      <c r="E46" s="15" t="n">
        <v>12</v>
      </c>
      <c r="F46" s="16">
        <f>IF(AND(C46&lt;&gt;"",D46&lt;&gt;"",E46&lt;&gt;""),(C46+4*D46+E46)/6,0)</f>
        <v/>
      </c>
      <c r="G46" s="15" t="inlineStr">
        <is>
          <t>No</t>
        </is>
      </c>
      <c r="H46" s="16">
        <f>IF(G46="Yes",ROUND(D46*$B$7,1),0)</f>
        <v/>
      </c>
      <c r="I46" s="16">
        <f>F46+H46</f>
        <v/>
      </c>
      <c r="J46" s="15" t="inlineStr">
        <is>
          <t>Included</t>
        </is>
      </c>
      <c r="K46" s="15" t="inlineStr">
        <is>
          <t>Implementation</t>
        </is>
      </c>
      <c r="L46" s="15" t="n"/>
      <c r="M46" s="15" t="n"/>
      <c r="N46" s="15" t="n"/>
      <c r="O46" s="15" t="n"/>
    </row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46" showDropDown="0" showInputMessage="0" showErrorMessage="0" allowBlank="1" type="list">
      <formula1>"Discovery,Implementation,Post-MVP Enhancement,Maintenance"</formula1>
    </dataValidation>
    <dataValidation sqref="J12:J46" showDropDown="0" showInputMessage="0" showErrorMessage="0" allowBlank="1" type="list">
      <formula1>"Included,Not included,Post-MVP,Select"</formula1>
    </dataValidation>
    <dataValidation sqref="G12:G46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QA Estimation (per stream)</t>
        </is>
      </c>
    </row>
    <row r="2" ht="48" customHeight="1" s="27">
      <c r="A2" s="7" t="inlineStr">
        <is>
          <t>Purpose:</t>
        </is>
      </c>
      <c r="B2" s="28" t="inlineStr">
        <is>
          <t>Defensible QA WBS split by stream: Front-end / Back-end / Mobile / Automation. Each stream covers System Config, Test Env, Strategy, Test Data, Test Case Design, Functional, Non-functional, Database, Change-related (Smoke/Regression), Test Closure.</t>
        </is>
      </c>
    </row>
    <row r="3" ht="48" customHeight="1" s="27">
      <c r="A3" s="7" t="inlineStr">
        <is>
          <t>How to use:</t>
        </is>
      </c>
      <c r="B3" s="28" t="inlineStr">
        <is>
          <t>(1) Per stream, fill O/ML/P for activities relevant to your project. (2) Disable streams that don't apply by setting Include = Not included on every row of that stream. (3) Automation block defaults to Post-MVP — switch to Included if AQA is in scope for build. (4) The Buffers tab pulls the QA Estimation Included sum and uses it instead of the 15% MQA coefficient when populated; otherwise it falls back to the coefficient-based MQA/AQA derivation.</t>
        </is>
      </c>
    </row>
    <row r="4" ht="30" customHeight="1" s="27">
      <c r="A4" s="7" t="inlineStr">
        <is>
          <t>Inputs:</t>
        </is>
      </c>
      <c r="B4" s="28" t="inlineStr">
        <is>
          <t>O/ML/P per row, Apply Contingency Y/N, Include, Phase, Deliverable, Description.</t>
        </is>
      </c>
    </row>
    <row r="5" ht="30" customHeight="1" s="27">
      <c r="A5" s="7" t="inlineStr">
        <is>
          <t>Outputs:</t>
        </is>
      </c>
      <c r="B5" s="28" t="inlineStr">
        <is>
          <t>QA roll-up (per-stream and total). Feeds Buffers tab QA row.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(QA from this tab vs MQA/AQA coefficient). Headcount and Cost (Manual QA / AQA estimated hours).</t>
        </is>
      </c>
    </row>
    <row r="7">
      <c r="A7" s="14" t="inlineStr">
        <is>
          <t>Default contingency:</t>
        </is>
      </c>
      <c r="B7" s="23" t="n">
        <v>0.15</v>
      </c>
      <c r="C7" s="12" t="inlineStr">
        <is>
          <t>(used when Apply Contingency = Yes; multiplied by Most Likely)</t>
        </is>
      </c>
    </row>
    <row r="8">
      <c r="A8" s="5" t="inlineStr">
        <is>
          <t>Streams: FE / BE / Mobile / Automation. Use this tab for a defensible per-stream QA WBS in addition to (or in place of) the flat 15% coefficient from v1.4.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SUM(C12:C49)</f>
        <v/>
      </c>
      <c r="D11" s="16">
        <f>SUM(D12:D49)</f>
        <v/>
      </c>
      <c r="E11" s="16">
        <f>SUM(E12:E49)</f>
        <v/>
      </c>
      <c r="F11" s="12">
        <f>SUM(F12:F49)</f>
        <v/>
      </c>
      <c r="H11" s="12">
        <f>SUM(H12:H49)</f>
        <v/>
      </c>
      <c r="I11" s="12">
        <f>SUMIF(J12:J49,"Included",I12:I49)</f>
        <v/>
      </c>
      <c r="J11" s="12" t="inlineStr">
        <is>
          <t>(only Included counted at right)</t>
        </is>
      </c>
    </row>
    <row r="12">
      <c r="A12" s="21" t="inlineStr">
        <is>
          <t>QA-FE</t>
        </is>
      </c>
      <c r="B12" s="21" t="inlineStr">
        <is>
          <t>QA — Front-end stream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QA-FE.1</t>
        </is>
      </c>
      <c r="B13" s="12" t="inlineStr">
        <is>
          <t>System Configuration</t>
        </is>
      </c>
      <c r="C13" s="15" t="n">
        <v>5</v>
      </c>
      <c r="D13" s="15" t="n">
        <v>6</v>
      </c>
      <c r="E13" s="15" t="n">
        <v>7</v>
      </c>
      <c r="F13" s="16">
        <f>IF(AND(C13&lt;&gt;"",D13&lt;&gt;"",E13&lt;&gt;""),(C13+4*D13+E13)/6,0)</f>
        <v/>
      </c>
      <c r="G13" s="15" t="inlineStr">
        <is>
          <t>No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inlineStr">
        <is>
          <t>Task / bug-tracking config</t>
        </is>
      </c>
      <c r="M13" s="15" t="n"/>
      <c r="N13" s="15" t="n"/>
      <c r="O13" s="15" t="n"/>
    </row>
    <row r="14">
      <c r="A14" s="12" t="inlineStr">
        <is>
          <t>QA-FE.2</t>
        </is>
      </c>
      <c r="B14" s="12" t="inlineStr">
        <is>
          <t>Test Environment Setup</t>
        </is>
      </c>
      <c r="C14" s="15" t="n">
        <v>6</v>
      </c>
      <c r="D14" s="15" t="n">
        <v>8</v>
      </c>
      <c r="E14" s="15" t="n">
        <v>12</v>
      </c>
      <c r="F14" s="16">
        <f>IF(AND(C14&lt;&gt;"",D14&lt;&gt;"",E14&lt;&gt;""),(C14+4*D14+E14)/6,0)</f>
        <v/>
      </c>
      <c r="G14" s="15" t="inlineStr">
        <is>
          <t>No</t>
        </is>
      </c>
      <c r="H14" s="16">
        <f>IF(G14="Yes",ROUND(D14*$B$7,1),0)</f>
        <v/>
      </c>
      <c r="I14" s="16">
        <f>F14+H14</f>
        <v/>
      </c>
      <c r="J14" s="15" t="inlineStr">
        <is>
          <t>Included</t>
        </is>
      </c>
      <c r="K14" s="15" t="inlineStr">
        <is>
          <t>Discovery</t>
        </is>
      </c>
      <c r="L14" s="15" t="n"/>
      <c r="M14" s="15" t="n"/>
      <c r="N14" s="15" t="n"/>
      <c r="O14" s="15" t="n"/>
    </row>
    <row r="15">
      <c r="A15" s="12" t="inlineStr">
        <is>
          <t>QA-FE.3</t>
        </is>
      </c>
      <c r="B15" s="12" t="inlineStr">
        <is>
          <t>Test Strategy &amp; Test Plan</t>
        </is>
      </c>
      <c r="C15" s="15" t="n">
        <v>10</v>
      </c>
      <c r="D15" s="15" t="n">
        <v>14</v>
      </c>
      <c r="E15" s="15" t="n">
        <v>18</v>
      </c>
      <c r="F15" s="16">
        <f>IF(AND(C15&lt;&gt;"",D15&lt;&gt;"",E15&lt;&gt;""),(C15+4*D15+E15)/6,0)</f>
        <v/>
      </c>
      <c r="G15" s="15" t="inlineStr">
        <is>
          <t>Yes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inlineStr">
        <is>
          <t>Test Strategy + Test Plan</t>
        </is>
      </c>
      <c r="M15" s="15" t="n"/>
      <c r="N15" s="15" t="n"/>
      <c r="O15" s="15" t="n"/>
    </row>
    <row r="16">
      <c r="A16" s="12" t="inlineStr">
        <is>
          <t>QA-FE.4</t>
        </is>
      </c>
      <c r="B16" s="12" t="inlineStr">
        <is>
          <t>Documentation Investigation</t>
        </is>
      </c>
      <c r="C16" s="15" t="n">
        <v>50</v>
      </c>
      <c r="D16" s="15" t="n">
        <v>60</v>
      </c>
      <c r="E16" s="15" t="n">
        <v>70</v>
      </c>
      <c r="F16" s="16">
        <f>IF(AND(C16&lt;&gt;"",D16&lt;&gt;"",E16&lt;&gt;""),(C16+4*D16+E16)/6,0)</f>
        <v/>
      </c>
      <c r="G16" s="15" t="inlineStr">
        <is>
          <t>No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Implementation</t>
        </is>
      </c>
      <c r="L16" s="15" t="n"/>
      <c r="M16" s="15" t="n"/>
      <c r="N16" s="15" t="n"/>
      <c r="O16" s="15" t="n"/>
    </row>
    <row r="17">
      <c r="A17" s="12" t="inlineStr">
        <is>
          <t>QA-FE.5</t>
        </is>
      </c>
      <c r="B17" s="12" t="inlineStr">
        <is>
          <t>Test Data preparation</t>
        </is>
      </c>
      <c r="C17" s="15" t="n">
        <v>70</v>
      </c>
      <c r="D17" s="15" t="n">
        <v>90</v>
      </c>
      <c r="E17" s="15" t="n">
        <v>120</v>
      </c>
      <c r="F17" s="16">
        <f>IF(AND(C17&lt;&gt;"",D17&lt;&gt;"",E17&lt;&gt;""),(C17+4*D17+E17)/6,0)</f>
        <v/>
      </c>
      <c r="G17" s="15" t="inlineStr">
        <is>
          <t>No</t>
        </is>
      </c>
      <c r="H17" s="16">
        <f>IF(G17="Yes",ROUND(D17*$B$7,1),0)</f>
        <v/>
      </c>
      <c r="I17" s="16">
        <f>F17+H17</f>
        <v/>
      </c>
      <c r="J17" s="15" t="inlineStr">
        <is>
          <t>Included</t>
        </is>
      </c>
      <c r="K17" s="15" t="inlineStr">
        <is>
          <t>Implementation</t>
        </is>
      </c>
      <c r="L17" s="15" t="n"/>
      <c r="M17" s="15" t="n"/>
      <c r="N17" s="15" t="n"/>
      <c r="O17" s="15" t="n"/>
    </row>
    <row r="18">
      <c r="A18" s="12" t="inlineStr">
        <is>
          <t>QA-FE.6</t>
        </is>
      </c>
      <c r="B18" s="12" t="inlineStr">
        <is>
          <t>Test Case design</t>
        </is>
      </c>
      <c r="C18" s="15" t="n">
        <v>110</v>
      </c>
      <c r="D18" s="15" t="n">
        <v>140</v>
      </c>
      <c r="E18" s="15" t="n">
        <v>170</v>
      </c>
      <c r="F18" s="16">
        <f>IF(AND(C18&lt;&gt;"",D18&lt;&gt;"",E18&lt;&gt;""),(C18+4*D18+E18)/6,0)</f>
        <v/>
      </c>
      <c r="G18" s="15" t="inlineStr">
        <is>
          <t>No</t>
        </is>
      </c>
      <c r="H18" s="16">
        <f>IF(G18="Yes",ROUND(D18*$B$7,1),0)</f>
        <v/>
      </c>
      <c r="I18" s="16">
        <f>F18+H18</f>
        <v/>
      </c>
      <c r="J18" s="15" t="inlineStr">
        <is>
          <t>Included</t>
        </is>
      </c>
      <c r="K18" s="15" t="inlineStr">
        <is>
          <t>Implementation</t>
        </is>
      </c>
      <c r="L18" s="15" t="n"/>
      <c r="M18" s="15" t="n"/>
      <c r="N18" s="15" t="n"/>
      <c r="O18" s="15" t="n"/>
    </row>
    <row r="19">
      <c r="A19" s="12" t="inlineStr">
        <is>
          <t>QA-FE.7</t>
        </is>
      </c>
      <c r="B19" s="12" t="inlineStr">
        <is>
          <t>Functional Testing (E2E)</t>
        </is>
      </c>
      <c r="C19" s="15" t="n">
        <v>90</v>
      </c>
      <c r="D19" s="15" t="n">
        <v>120</v>
      </c>
      <c r="E19" s="15" t="n">
        <v>140</v>
      </c>
      <c r="F19" s="16">
        <f>IF(AND(C19&lt;&gt;"",D19&lt;&gt;"",E19&lt;&gt;""),(C19+4*D19+E19)/6,0)</f>
        <v/>
      </c>
      <c r="G19" s="15" t="inlineStr">
        <is>
          <t>Yes</t>
        </is>
      </c>
      <c r="H19" s="16">
        <f>IF(G19="Yes",ROUND(D19*$B$7,1),0)</f>
        <v/>
      </c>
      <c r="I19" s="16">
        <f>F19+H19</f>
        <v/>
      </c>
      <c r="J19" s="15" t="inlineStr">
        <is>
          <t>Included</t>
        </is>
      </c>
      <c r="K19" s="15" t="inlineStr">
        <is>
          <t>Implementation</t>
        </is>
      </c>
      <c r="L19" s="15" t="n"/>
      <c r="M19" s="15" t="n"/>
      <c r="N19" s="15" t="n"/>
      <c r="O19" s="15" t="n"/>
    </row>
    <row r="20">
      <c r="A20" s="12" t="inlineStr">
        <is>
          <t>QA-FE.8</t>
        </is>
      </c>
      <c r="B20" s="12" t="inlineStr">
        <is>
          <t>Non-functional Testing (UI/UX, Docs)</t>
        </is>
      </c>
      <c r="C20" s="15" t="n">
        <v>120</v>
      </c>
      <c r="D20" s="15" t="n">
        <v>130</v>
      </c>
      <c r="E20" s="15" t="n">
        <v>160</v>
      </c>
      <c r="F20" s="16">
        <f>IF(AND(C20&lt;&gt;"",D20&lt;&gt;"",E20&lt;&gt;""),(C20+4*D20+E20)/6,0)</f>
        <v/>
      </c>
      <c r="G20" s="15" t="inlineStr">
        <is>
          <t>No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Implementation</t>
        </is>
      </c>
      <c r="L20" s="15" t="n"/>
      <c r="M20" s="15" t="n"/>
      <c r="N20" s="15" t="n"/>
      <c r="O20" s="15" t="n"/>
    </row>
    <row r="21" ht="15.75" customHeight="1" s="27">
      <c r="A21" s="12" t="inlineStr">
        <is>
          <t>QA-FE.9</t>
        </is>
      </c>
      <c r="B21" s="12" t="inlineStr">
        <is>
          <t>Change-related (Smoke/Regression/Critical Path)</t>
        </is>
      </c>
      <c r="C21" s="15" t="n">
        <v>110</v>
      </c>
      <c r="D21" s="15" t="n">
        <v>140</v>
      </c>
      <c r="E21" s="15" t="n">
        <v>160</v>
      </c>
      <c r="F21" s="16">
        <f>IF(AND(C21&lt;&gt;"",D21&lt;&gt;"",E21&lt;&gt;""),(C21+4*D21+E21)/6,0)</f>
        <v/>
      </c>
      <c r="G21" s="15" t="inlineStr">
        <is>
          <t>Yes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Implementation</t>
        </is>
      </c>
      <c r="L21" s="15" t="n"/>
      <c r="M21" s="15" t="n"/>
      <c r="N21" s="15" t="n"/>
      <c r="O21" s="15" t="n"/>
    </row>
    <row r="22" ht="15.75" customHeight="1" s="27">
      <c r="A22" s="12" t="inlineStr">
        <is>
          <t>QA-FE.10</t>
        </is>
      </c>
      <c r="B22" s="12" t="inlineStr">
        <is>
          <t>Test Closure</t>
        </is>
      </c>
      <c r="C22" s="15" t="n">
        <v>40</v>
      </c>
      <c r="D22" s="15" t="n">
        <v>50</v>
      </c>
      <c r="E22" s="15" t="n">
        <v>65</v>
      </c>
      <c r="F22" s="16">
        <f>IF(AND(C22&lt;&gt;"",D22&lt;&gt;"",E22&lt;&gt;""),(C22+4*D22+E22)/6,0)</f>
        <v/>
      </c>
      <c r="G22" s="15" t="inlineStr">
        <is>
          <t>No</t>
        </is>
      </c>
      <c r="H22" s="16">
        <f>IF(G22="Yes",ROUND(D22*$B$7,1),0)</f>
        <v/>
      </c>
      <c r="I22" s="16">
        <f>F22+H22</f>
        <v/>
      </c>
      <c r="J22" s="15" t="inlineStr">
        <is>
          <t>Included</t>
        </is>
      </c>
      <c r="K22" s="15" t="inlineStr">
        <is>
          <t>Implementation</t>
        </is>
      </c>
      <c r="L22" s="15" t="n"/>
      <c r="M22" s="15" t="n"/>
      <c r="N22" s="15" t="n"/>
      <c r="O22" s="15" t="n"/>
    </row>
    <row r="23" ht="15.75" customHeight="1" s="27">
      <c r="A23" s="21" t="inlineStr">
        <is>
          <t>QA-BE</t>
        </is>
      </c>
      <c r="B23" s="21" t="inlineStr">
        <is>
          <t>QA — Back-end stream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27">
      <c r="A24" s="12" t="inlineStr">
        <is>
          <t>QA-BE.1</t>
        </is>
      </c>
      <c r="B24" s="12" t="inlineStr">
        <is>
          <t>System Configuration</t>
        </is>
      </c>
      <c r="C24" s="15" t="n">
        <v>8</v>
      </c>
      <c r="D24" s="15" t="n">
        <v>14</v>
      </c>
      <c r="E24" s="15" t="n">
        <v>16</v>
      </c>
      <c r="F24" s="16">
        <f>IF(AND(C24&lt;&gt;"",D24&lt;&gt;"",E24&lt;&gt;""),(C24+4*D24+E24)/6,0)</f>
        <v/>
      </c>
      <c r="G24" s="15" t="inlineStr">
        <is>
          <t>No</t>
        </is>
      </c>
      <c r="H24" s="16">
        <f>IF(G24="Yes",ROUND(D24*$B$7,1),0)</f>
        <v/>
      </c>
      <c r="I24" s="16">
        <f>F24+H24</f>
        <v/>
      </c>
      <c r="J24" s="15" t="inlineStr">
        <is>
          <t>Not included</t>
        </is>
      </c>
      <c r="K24" s="15" t="inlineStr">
        <is>
          <t>Discovery</t>
        </is>
      </c>
      <c r="L24" s="15" t="n"/>
      <c r="M24" s="15" t="n"/>
      <c r="N24" s="15" t="n"/>
      <c r="O24" s="15" t="n"/>
    </row>
    <row r="25" ht="15.75" customHeight="1" s="27">
      <c r="A25" s="12" t="inlineStr">
        <is>
          <t>QA-BE.2</t>
        </is>
      </c>
      <c r="B25" s="12" t="inlineStr">
        <is>
          <t>Test Environment Setup</t>
        </is>
      </c>
      <c r="C25" s="15" t="n">
        <v>8</v>
      </c>
      <c r="D25" s="15" t="n">
        <v>14</v>
      </c>
      <c r="E25" s="15" t="n">
        <v>16</v>
      </c>
      <c r="F25" s="16">
        <f>IF(AND(C25&lt;&gt;"",D25&lt;&gt;"",E25&lt;&gt;""),(C25+4*D25+E25)/6,0)</f>
        <v/>
      </c>
      <c r="G25" s="15" t="inlineStr">
        <is>
          <t>No</t>
        </is>
      </c>
      <c r="H25" s="16">
        <f>IF(G25="Yes",ROUND(D25*$B$7,1),0)</f>
        <v/>
      </c>
      <c r="I25" s="16">
        <f>F25+H25</f>
        <v/>
      </c>
      <c r="J25" s="15" t="inlineStr">
        <is>
          <t>Not included</t>
        </is>
      </c>
      <c r="K25" s="15" t="inlineStr">
        <is>
          <t>Discovery</t>
        </is>
      </c>
      <c r="L25" s="15" t="n"/>
      <c r="M25" s="15" t="n"/>
      <c r="N25" s="15" t="n"/>
      <c r="O25" s="15" t="n"/>
    </row>
    <row r="26" ht="15.75" customHeight="1" s="27">
      <c r="A26" s="12" t="inlineStr">
        <is>
          <t>QA-BE.3</t>
        </is>
      </c>
      <c r="B26" s="12" t="inlineStr">
        <is>
          <t>Database (data integrity, migrations)</t>
        </is>
      </c>
      <c r="C26" s="15" t="n">
        <v>8</v>
      </c>
      <c r="D26" s="15" t="n">
        <v>12</v>
      </c>
      <c r="E26" s="15" t="n">
        <v>14</v>
      </c>
      <c r="F26" s="16">
        <f>IF(AND(C26&lt;&gt;"",D26&lt;&gt;"",E26&lt;&gt;""),(C26+4*D26+E26)/6,0)</f>
        <v/>
      </c>
      <c r="G26" s="15" t="inlineStr">
        <is>
          <t>No</t>
        </is>
      </c>
      <c r="H26" s="16">
        <f>IF(G26="Yes",ROUND(D26*$B$7,1),0)</f>
        <v/>
      </c>
      <c r="I26" s="16">
        <f>F26+H26</f>
        <v/>
      </c>
      <c r="J26" s="15" t="inlineStr">
        <is>
          <t>Not included</t>
        </is>
      </c>
      <c r="K26" s="15" t="inlineStr">
        <is>
          <t>Discovery</t>
        </is>
      </c>
      <c r="L26" s="15" t="n"/>
      <c r="M26" s="15" t="n"/>
      <c r="N26" s="15" t="n"/>
      <c r="O26" s="15" t="n"/>
    </row>
    <row r="27" ht="15.75" customHeight="1" s="27">
      <c r="A27" s="12" t="inlineStr">
        <is>
          <t>QA-BE.4</t>
        </is>
      </c>
      <c r="B27" s="12" t="inlineStr">
        <is>
          <t>Documentation Investigation</t>
        </is>
      </c>
      <c r="C27" s="15" t="n">
        <v>160</v>
      </c>
      <c r="D27" s="15" t="n">
        <v>180</v>
      </c>
      <c r="E27" s="15" t="n">
        <v>190</v>
      </c>
      <c r="F27" s="16">
        <f>IF(AND(C27&lt;&gt;"",D27&lt;&gt;"",E27&lt;&gt;""),(C27+4*D27+E27)/6,0)</f>
        <v/>
      </c>
      <c r="G27" s="15" t="inlineStr">
        <is>
          <t>No</t>
        </is>
      </c>
      <c r="H27" s="16">
        <f>IF(G27="Yes",ROUND(D27*$B$7,1),0)</f>
        <v/>
      </c>
      <c r="I27" s="16">
        <f>F27+H27</f>
        <v/>
      </c>
      <c r="J27" s="15" t="inlineStr">
        <is>
          <t>Included</t>
        </is>
      </c>
      <c r="K27" s="15" t="inlineStr">
        <is>
          <t>Implementation</t>
        </is>
      </c>
      <c r="L27" s="15" t="n"/>
      <c r="M27" s="15" t="n"/>
      <c r="N27" s="15" t="n"/>
      <c r="O27" s="15" t="n"/>
    </row>
    <row r="28" ht="15.75" customHeight="1" s="27">
      <c r="A28" s="12" t="inlineStr">
        <is>
          <t>QA-BE.5</t>
        </is>
      </c>
      <c r="B28" s="12" t="inlineStr">
        <is>
          <t>Test Data preparation</t>
        </is>
      </c>
      <c r="C28" s="15" t="n">
        <v>140</v>
      </c>
      <c r="D28" s="15" t="n">
        <v>170</v>
      </c>
      <c r="E28" s="15" t="n">
        <v>180</v>
      </c>
      <c r="F28" s="16">
        <f>IF(AND(C28&lt;&gt;"",D28&lt;&gt;"",E28&lt;&gt;""),(C28+4*D28+E28)/6,0)</f>
        <v/>
      </c>
      <c r="G28" s="15" t="inlineStr">
        <is>
          <t>No</t>
        </is>
      </c>
      <c r="H28" s="16">
        <f>IF(G28="Yes",ROUND(D28*$B$7,1),0)</f>
        <v/>
      </c>
      <c r="I28" s="16">
        <f>F28+H28</f>
        <v/>
      </c>
      <c r="J28" s="15" t="inlineStr">
        <is>
          <t>Included</t>
        </is>
      </c>
      <c r="K28" s="15" t="inlineStr">
        <is>
          <t>Implementation</t>
        </is>
      </c>
      <c r="L28" s="15" t="n"/>
      <c r="M28" s="15" t="n"/>
      <c r="N28" s="15" t="n"/>
      <c r="O28" s="15" t="n"/>
    </row>
    <row r="29" ht="15.75" customHeight="1" s="27">
      <c r="A29" s="12" t="inlineStr">
        <is>
          <t>QA-BE.6</t>
        </is>
      </c>
      <c r="B29" s="12" t="inlineStr">
        <is>
          <t>Test Case design</t>
        </is>
      </c>
      <c r="C29" s="15" t="n">
        <v>270</v>
      </c>
      <c r="D29" s="15" t="n">
        <v>290</v>
      </c>
      <c r="E29" s="15" t="n">
        <v>330</v>
      </c>
      <c r="F29" s="16">
        <f>IF(AND(C29&lt;&gt;"",D29&lt;&gt;"",E29&lt;&gt;""),(C29+4*D29+E29)/6,0)</f>
        <v/>
      </c>
      <c r="G29" s="15" t="inlineStr">
        <is>
          <t>No</t>
        </is>
      </c>
      <c r="H29" s="16">
        <f>IF(G29="Yes",ROUND(D29*$B$7,1),0)</f>
        <v/>
      </c>
      <c r="I29" s="16">
        <f>F29+H29</f>
        <v/>
      </c>
      <c r="J29" s="15" t="inlineStr">
        <is>
          <t>Included</t>
        </is>
      </c>
      <c r="K29" s="15" t="inlineStr">
        <is>
          <t>Implementation</t>
        </is>
      </c>
      <c r="L29" s="15" t="n"/>
      <c r="M29" s="15" t="n"/>
      <c r="N29" s="15" t="n"/>
      <c r="O29" s="15" t="n"/>
    </row>
    <row r="30" ht="15.75" customHeight="1" s="27">
      <c r="A30" s="12" t="inlineStr">
        <is>
          <t>QA-BE.7</t>
        </is>
      </c>
      <c r="B30" s="12" t="inlineStr">
        <is>
          <t>Database Testing</t>
        </is>
      </c>
      <c r="C30" s="15" t="n">
        <v>190</v>
      </c>
      <c r="D30" s="15" t="n">
        <v>230</v>
      </c>
      <c r="E30" s="15" t="n">
        <v>250</v>
      </c>
      <c r="F30" s="16">
        <f>IF(AND(C30&lt;&gt;"",D30&lt;&gt;"",E30&lt;&gt;""),(C30+4*D30+E30)/6,0)</f>
        <v/>
      </c>
      <c r="G30" s="15" t="inlineStr">
        <is>
          <t>No</t>
        </is>
      </c>
      <c r="H30" s="16">
        <f>IF(G30="Yes",ROUND(D30*$B$7,1),0)</f>
        <v/>
      </c>
      <c r="I30" s="16">
        <f>F30+H30</f>
        <v/>
      </c>
      <c r="J30" s="15" t="inlineStr">
        <is>
          <t>Included</t>
        </is>
      </c>
      <c r="K30" s="15" t="inlineStr">
        <is>
          <t>Implementation</t>
        </is>
      </c>
      <c r="L30" s="15" t="n"/>
      <c r="M30" s="15" t="n"/>
      <c r="N30" s="15" t="n"/>
      <c r="O30" s="15" t="n"/>
    </row>
    <row r="31" ht="15.75" customHeight="1" s="27">
      <c r="A31" s="12" t="inlineStr">
        <is>
          <t>QA-BE.8</t>
        </is>
      </c>
      <c r="B31" s="12" t="inlineStr">
        <is>
          <t>Functional Testing (Integration / API)</t>
        </is>
      </c>
      <c r="C31" s="15" t="n">
        <v>280</v>
      </c>
      <c r="D31" s="15" t="n">
        <v>300</v>
      </c>
      <c r="E31" s="15" t="n">
        <v>320</v>
      </c>
      <c r="F31" s="16">
        <f>IF(AND(C31&lt;&gt;"",D31&lt;&gt;"",E31&lt;&gt;""),(C31+4*D31+E31)/6,0)</f>
        <v/>
      </c>
      <c r="G31" s="15" t="inlineStr">
        <is>
          <t>Yes</t>
        </is>
      </c>
      <c r="H31" s="16">
        <f>IF(G31="Yes",ROUND(D31*$B$7,1),0)</f>
        <v/>
      </c>
      <c r="I31" s="16">
        <f>F31+H31</f>
        <v/>
      </c>
      <c r="J31" s="15" t="inlineStr">
        <is>
          <t>Included</t>
        </is>
      </c>
      <c r="K31" s="15" t="inlineStr">
        <is>
          <t>Implementation</t>
        </is>
      </c>
      <c r="L31" s="15" t="n"/>
      <c r="M31" s="15" t="n"/>
      <c r="N31" s="15" t="n"/>
      <c r="O31" s="15" t="n"/>
    </row>
    <row r="32" ht="15.75" customHeight="1" s="27">
      <c r="A32" s="12" t="inlineStr">
        <is>
          <t>QA-BE.9</t>
        </is>
      </c>
      <c r="B32" s="12" t="inlineStr">
        <is>
          <t>Non-functional Testing (Docs)</t>
        </is>
      </c>
      <c r="C32" s="15" t="n">
        <v>200</v>
      </c>
      <c r="D32" s="15" t="n">
        <v>240</v>
      </c>
      <c r="E32" s="15" t="n">
        <v>260</v>
      </c>
      <c r="F32" s="16">
        <f>IF(AND(C32&lt;&gt;"",D32&lt;&gt;"",E32&lt;&gt;""),(C32+4*D32+E32)/6,0)</f>
        <v/>
      </c>
      <c r="G32" s="15" t="inlineStr">
        <is>
          <t>No</t>
        </is>
      </c>
      <c r="H32" s="16">
        <f>IF(G32="Yes",ROUND(D32*$B$7,1),0)</f>
        <v/>
      </c>
      <c r="I32" s="16">
        <f>F32+H32</f>
        <v/>
      </c>
      <c r="J32" s="15" t="inlineStr">
        <is>
          <t>Included</t>
        </is>
      </c>
      <c r="K32" s="15" t="inlineStr">
        <is>
          <t>Implementation</t>
        </is>
      </c>
      <c r="L32" s="15" t="n"/>
      <c r="M32" s="15" t="n"/>
      <c r="N32" s="15" t="n"/>
      <c r="O32" s="15" t="n"/>
    </row>
    <row r="33" ht="15.75" customHeight="1" s="27">
      <c r="A33" s="12" t="inlineStr">
        <is>
          <t>QA-BE.10</t>
        </is>
      </c>
      <c r="B33" s="12" t="inlineStr">
        <is>
          <t>Change-related (Smoke/Regression)</t>
        </is>
      </c>
      <c r="C33" s="15" t="n">
        <v>280</v>
      </c>
      <c r="D33" s="15" t="n">
        <v>320</v>
      </c>
      <c r="E33" s="15" t="n">
        <v>350</v>
      </c>
      <c r="F33" s="16">
        <f>IF(AND(C33&lt;&gt;"",D33&lt;&gt;"",E33&lt;&gt;""),(C33+4*D33+E33)/6,0)</f>
        <v/>
      </c>
      <c r="G33" s="15" t="inlineStr">
        <is>
          <t>Yes</t>
        </is>
      </c>
      <c r="H33" s="16">
        <f>IF(G33="Yes",ROUND(D33*$B$7,1),0)</f>
        <v/>
      </c>
      <c r="I33" s="16">
        <f>F33+H33</f>
        <v/>
      </c>
      <c r="J33" s="15" t="inlineStr">
        <is>
          <t>Included</t>
        </is>
      </c>
      <c r="K33" s="15" t="inlineStr">
        <is>
          <t>Implementation</t>
        </is>
      </c>
      <c r="L33" s="15" t="n"/>
      <c r="M33" s="15" t="n"/>
      <c r="N33" s="15" t="n"/>
      <c r="O33" s="15" t="n"/>
    </row>
    <row r="34" ht="15.75" customHeight="1" s="27">
      <c r="A34" s="12" t="inlineStr">
        <is>
          <t>QA-BE.11</t>
        </is>
      </c>
      <c r="B34" s="12" t="inlineStr">
        <is>
          <t>Test Closure</t>
        </is>
      </c>
      <c r="C34" s="15" t="n">
        <v>110</v>
      </c>
      <c r="D34" s="15" t="n">
        <v>120</v>
      </c>
      <c r="E34" s="15" t="n">
        <v>140</v>
      </c>
      <c r="F34" s="16">
        <f>IF(AND(C34&lt;&gt;"",D34&lt;&gt;"",E34&lt;&gt;""),(C34+4*D34+E34)/6,0)</f>
        <v/>
      </c>
      <c r="G34" s="15" t="inlineStr">
        <is>
          <t>No</t>
        </is>
      </c>
      <c r="H34" s="16">
        <f>IF(G34="Yes",ROUND(D34*$B$7,1),0)</f>
        <v/>
      </c>
      <c r="I34" s="16">
        <f>F34+H34</f>
        <v/>
      </c>
      <c r="J34" s="15" t="inlineStr">
        <is>
          <t>Included</t>
        </is>
      </c>
      <c r="K34" s="15" t="inlineStr">
        <is>
          <t>Implementation</t>
        </is>
      </c>
      <c r="L34" s="15" t="n"/>
      <c r="M34" s="15" t="n"/>
      <c r="N34" s="15" t="n"/>
      <c r="O34" s="15" t="n"/>
    </row>
    <row r="35" ht="15.75" customHeight="1" s="27">
      <c r="A35" s="21" t="inlineStr">
        <is>
          <t>QA-MOB</t>
        </is>
      </c>
      <c r="B35" s="21" t="inlineStr">
        <is>
          <t>QA — Mobile stream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5.75" customHeight="1" s="27">
      <c r="A36" s="12" t="inlineStr">
        <is>
          <t>QA-M.1</t>
        </is>
      </c>
      <c r="B36" s="12" t="inlineStr">
        <is>
          <t>System Configuration</t>
        </is>
      </c>
      <c r="C36" s="15" t="n">
        <v>8</v>
      </c>
      <c r="D36" s="15" t="n">
        <v>14</v>
      </c>
      <c r="E36" s="15" t="n">
        <v>18</v>
      </c>
      <c r="F36" s="16">
        <f>IF(AND(C36&lt;&gt;"",D36&lt;&gt;"",E36&lt;&gt;""),(C36+4*D36+E36)/6,0)</f>
        <v/>
      </c>
      <c r="G36" s="15" t="inlineStr">
        <is>
          <t>No</t>
        </is>
      </c>
      <c r="H36" s="16">
        <f>IF(G36="Yes",ROUND(D36*$B$7,1),0)</f>
        <v/>
      </c>
      <c r="I36" s="16">
        <f>F36+H36</f>
        <v/>
      </c>
      <c r="J36" s="15" t="inlineStr">
        <is>
          <t>Not included</t>
        </is>
      </c>
      <c r="K36" s="15" t="inlineStr">
        <is>
          <t>Discovery</t>
        </is>
      </c>
      <c r="L36" s="15" t="n"/>
      <c r="M36" s="15" t="n"/>
      <c r="N36" s="15" t="n"/>
      <c r="O36" s="15" t="n"/>
    </row>
    <row r="37" ht="15.75" customHeight="1" s="27">
      <c r="A37" s="12" t="inlineStr">
        <is>
          <t>QA-M.2</t>
        </is>
      </c>
      <c r="B37" s="12" t="inlineStr">
        <is>
          <t>Test Environment Setup</t>
        </is>
      </c>
      <c r="C37" s="15" t="n">
        <v>6</v>
      </c>
      <c r="D37" s="15" t="n">
        <v>8</v>
      </c>
      <c r="E37" s="15" t="n">
        <v>10</v>
      </c>
      <c r="F37" s="16">
        <f>IF(AND(C37&lt;&gt;"",D37&lt;&gt;"",E37&lt;&gt;""),(C37+4*D37+E37)/6,0)</f>
        <v/>
      </c>
      <c r="G37" s="15" t="inlineStr">
        <is>
          <t>No</t>
        </is>
      </c>
      <c r="H37" s="16">
        <f>IF(G37="Yes",ROUND(D37*$B$7,1),0)</f>
        <v/>
      </c>
      <c r="I37" s="16">
        <f>F37+H37</f>
        <v/>
      </c>
      <c r="J37" s="15" t="inlineStr">
        <is>
          <t>Not included</t>
        </is>
      </c>
      <c r="K37" s="15" t="inlineStr">
        <is>
          <t>Discovery</t>
        </is>
      </c>
      <c r="L37" s="15" t="n"/>
      <c r="M37" s="15" t="n"/>
      <c r="N37" s="15" t="n"/>
      <c r="O37" s="15" t="n"/>
    </row>
    <row r="38" ht="15.75" customHeight="1" s="27">
      <c r="A38" s="12" t="inlineStr">
        <is>
          <t>QA-M.3</t>
        </is>
      </c>
      <c r="B38" s="12" t="inlineStr">
        <is>
          <t>Documentation Investigation</t>
        </is>
      </c>
      <c r="C38" s="15" t="n">
        <v>70</v>
      </c>
      <c r="D38" s="15" t="n">
        <v>90</v>
      </c>
      <c r="E38" s="15" t="n">
        <v>110</v>
      </c>
      <c r="F38" s="16">
        <f>IF(AND(C38&lt;&gt;"",D38&lt;&gt;"",E38&lt;&gt;""),(C38+4*D38+E38)/6,0)</f>
        <v/>
      </c>
      <c r="G38" s="15" t="inlineStr">
        <is>
          <t>No</t>
        </is>
      </c>
      <c r="H38" s="16">
        <f>IF(G38="Yes",ROUND(D38*$B$7,1),0)</f>
        <v/>
      </c>
      <c r="I38" s="16">
        <f>F38+H38</f>
        <v/>
      </c>
      <c r="J38" s="15" t="inlineStr">
        <is>
          <t>Included</t>
        </is>
      </c>
      <c r="K38" s="15" t="inlineStr">
        <is>
          <t>Implementation</t>
        </is>
      </c>
      <c r="L38" s="15" t="n"/>
      <c r="M38" s="15" t="n"/>
      <c r="N38" s="15" t="n"/>
      <c r="O38" s="15" t="n"/>
    </row>
    <row r="39" ht="15.75" customHeight="1" s="27">
      <c r="A39" s="12" t="inlineStr">
        <is>
          <t>QA-M.4</t>
        </is>
      </c>
      <c r="B39" s="12" t="inlineStr">
        <is>
          <t>Test Data</t>
        </is>
      </c>
      <c r="C39" s="15" t="n">
        <v>50</v>
      </c>
      <c r="D39" s="15" t="n">
        <v>60</v>
      </c>
      <c r="E39" s="15" t="n">
        <v>90</v>
      </c>
      <c r="F39" s="16">
        <f>IF(AND(C39&lt;&gt;"",D39&lt;&gt;"",E39&lt;&gt;""),(C39+4*D39+E39)/6,0)</f>
        <v/>
      </c>
      <c r="G39" s="15" t="inlineStr">
        <is>
          <t>No</t>
        </is>
      </c>
      <c r="H39" s="16">
        <f>IF(G39="Yes",ROUND(D39*$B$7,1),0)</f>
        <v/>
      </c>
      <c r="I39" s="16">
        <f>F39+H39</f>
        <v/>
      </c>
      <c r="J39" s="15" t="inlineStr">
        <is>
          <t>Included</t>
        </is>
      </c>
      <c r="K39" s="15" t="inlineStr">
        <is>
          <t>Implementation</t>
        </is>
      </c>
      <c r="L39" s="15" t="n"/>
      <c r="M39" s="15" t="n"/>
      <c r="N39" s="15" t="n"/>
      <c r="O39" s="15" t="n"/>
    </row>
    <row r="40" ht="15.75" customHeight="1" s="27">
      <c r="A40" s="12" t="inlineStr">
        <is>
          <t>QA-M.5</t>
        </is>
      </c>
      <c r="B40" s="12" t="inlineStr">
        <is>
          <t>Test Case design</t>
        </is>
      </c>
      <c r="C40" s="15" t="n">
        <v>180</v>
      </c>
      <c r="D40" s="15" t="n">
        <v>210</v>
      </c>
      <c r="E40" s="15" t="n">
        <v>230</v>
      </c>
      <c r="F40" s="16">
        <f>IF(AND(C40&lt;&gt;"",D40&lt;&gt;"",E40&lt;&gt;""),(C40+4*D40+E40)/6,0)</f>
        <v/>
      </c>
      <c r="G40" s="15" t="inlineStr">
        <is>
          <t>No</t>
        </is>
      </c>
      <c r="H40" s="16">
        <f>IF(G40="Yes",ROUND(D40*$B$7,1),0)</f>
        <v/>
      </c>
      <c r="I40" s="16">
        <f>F40+H40</f>
        <v/>
      </c>
      <c r="J40" s="15" t="inlineStr">
        <is>
          <t>Included</t>
        </is>
      </c>
      <c r="K40" s="15" t="inlineStr">
        <is>
          <t>Implementation</t>
        </is>
      </c>
      <c r="L40" s="15" t="n"/>
      <c r="M40" s="15" t="n"/>
      <c r="N40" s="15" t="n"/>
      <c r="O40" s="15" t="n"/>
    </row>
    <row r="41" ht="15.75" customHeight="1" s="27">
      <c r="A41" s="12" t="inlineStr">
        <is>
          <t>QA-M.6</t>
        </is>
      </c>
      <c r="B41" s="12" t="inlineStr">
        <is>
          <t>Functional Testing</t>
        </is>
      </c>
      <c r="C41" s="15" t="n">
        <v>150</v>
      </c>
      <c r="D41" s="15" t="n">
        <v>180</v>
      </c>
      <c r="E41" s="15" t="n">
        <v>220</v>
      </c>
      <c r="F41" s="16">
        <f>IF(AND(C41&lt;&gt;"",D41&lt;&gt;"",E41&lt;&gt;""),(C41+4*D41+E41)/6,0)</f>
        <v/>
      </c>
      <c r="G41" s="15" t="inlineStr">
        <is>
          <t>Yes</t>
        </is>
      </c>
      <c r="H41" s="16">
        <f>IF(G41="Yes",ROUND(D41*$B$7,1),0)</f>
        <v/>
      </c>
      <c r="I41" s="16">
        <f>F41+H41</f>
        <v/>
      </c>
      <c r="J41" s="15" t="inlineStr">
        <is>
          <t>Included</t>
        </is>
      </c>
      <c r="K41" s="15" t="inlineStr">
        <is>
          <t>Implementation</t>
        </is>
      </c>
      <c r="L41" s="15" t="n"/>
      <c r="M41" s="15" t="n"/>
      <c r="N41" s="15" t="n"/>
      <c r="O41" s="15" t="n"/>
    </row>
    <row r="42" ht="15.75" customHeight="1" s="27">
      <c r="A42" s="12" t="inlineStr">
        <is>
          <t>QA-M.7</t>
        </is>
      </c>
      <c r="B42" s="12" t="inlineStr">
        <is>
          <t>Non-functional Testing (devices, OS, install)</t>
        </is>
      </c>
      <c r="C42" s="15" t="n">
        <v>80</v>
      </c>
      <c r="D42" s="15" t="n">
        <v>100</v>
      </c>
      <c r="E42" s="15" t="n">
        <v>130</v>
      </c>
      <c r="F42" s="16">
        <f>IF(AND(C42&lt;&gt;"",D42&lt;&gt;"",E42&lt;&gt;""),(C42+4*D42+E42)/6,0)</f>
        <v/>
      </c>
      <c r="G42" s="15" t="inlineStr">
        <is>
          <t>No</t>
        </is>
      </c>
      <c r="H42" s="16">
        <f>IF(G42="Yes",ROUND(D42*$B$7,1),0)</f>
        <v/>
      </c>
      <c r="I42" s="16">
        <f>F42+H42</f>
        <v/>
      </c>
      <c r="J42" s="15" t="inlineStr">
        <is>
          <t>Included</t>
        </is>
      </c>
      <c r="K42" s="15" t="inlineStr">
        <is>
          <t>Implementation</t>
        </is>
      </c>
      <c r="L42" s="15" t="n"/>
      <c r="M42" s="15" t="n"/>
      <c r="N42" s="15" t="n"/>
      <c r="O42" s="15" t="n"/>
    </row>
    <row r="43" ht="15.75" customHeight="1" s="27">
      <c r="A43" s="12" t="inlineStr">
        <is>
          <t>QA-M.8</t>
        </is>
      </c>
      <c r="B43" s="12" t="inlineStr">
        <is>
          <t>Change-related (Smoke/Regression)</t>
        </is>
      </c>
      <c r="C43" s="15" t="n">
        <v>230</v>
      </c>
      <c r="D43" s="15" t="n">
        <v>260</v>
      </c>
      <c r="E43" s="15" t="n">
        <v>290</v>
      </c>
      <c r="F43" s="16">
        <f>IF(AND(C43&lt;&gt;"",D43&lt;&gt;"",E43&lt;&gt;""),(C43+4*D43+E43)/6,0)</f>
        <v/>
      </c>
      <c r="G43" s="15" t="inlineStr">
        <is>
          <t>Yes</t>
        </is>
      </c>
      <c r="H43" s="16">
        <f>IF(G43="Yes",ROUND(D43*$B$7,1),0)</f>
        <v/>
      </c>
      <c r="I43" s="16">
        <f>F43+H43</f>
        <v/>
      </c>
      <c r="J43" s="15" t="inlineStr">
        <is>
          <t>Included</t>
        </is>
      </c>
      <c r="K43" s="15" t="inlineStr">
        <is>
          <t>Implementation</t>
        </is>
      </c>
      <c r="L43" s="15" t="n"/>
      <c r="M43" s="15" t="n"/>
      <c r="N43" s="15" t="n"/>
      <c r="O43" s="15" t="n"/>
    </row>
    <row r="44" ht="15.75" customHeight="1" s="27">
      <c r="A44" s="12" t="inlineStr">
        <is>
          <t>QA-M.9</t>
        </is>
      </c>
      <c r="B44" s="12" t="inlineStr">
        <is>
          <t>Test Closure</t>
        </is>
      </c>
      <c r="C44" s="15" t="n">
        <v>60</v>
      </c>
      <c r="D44" s="15" t="n">
        <v>75</v>
      </c>
      <c r="E44" s="15" t="n">
        <v>90</v>
      </c>
      <c r="F44" s="16">
        <f>IF(AND(C44&lt;&gt;"",D44&lt;&gt;"",E44&lt;&gt;""),(C44+4*D44+E44)/6,0)</f>
        <v/>
      </c>
      <c r="G44" s="15" t="inlineStr">
        <is>
          <t>No</t>
        </is>
      </c>
      <c r="H44" s="16">
        <f>IF(G44="Yes",ROUND(D44*$B$7,1),0)</f>
        <v/>
      </c>
      <c r="I44" s="16">
        <f>F44+H44</f>
        <v/>
      </c>
      <c r="J44" s="15" t="inlineStr">
        <is>
          <t>Included</t>
        </is>
      </c>
      <c r="K44" s="15" t="inlineStr">
        <is>
          <t>Implementation</t>
        </is>
      </c>
      <c r="L44" s="15" t="n"/>
      <c r="M44" s="15" t="n"/>
      <c r="N44" s="15" t="n"/>
      <c r="O44" s="15" t="n"/>
    </row>
    <row r="45" ht="15.75" customHeight="1" s="27">
      <c r="A45" s="21" t="inlineStr">
        <is>
          <t>QA-AUT</t>
        </is>
      </c>
      <c r="B45" s="21" t="inlineStr">
        <is>
          <t>QA — Automation (optional)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15.75" customHeight="1" s="27">
      <c r="A46" s="12" t="inlineStr">
        <is>
          <t>QA-A.1</t>
        </is>
      </c>
      <c r="B46" s="12" t="inlineStr">
        <is>
          <t>Framework design &amp; setup</t>
        </is>
      </c>
      <c r="C46" s="15" t="n">
        <v>0</v>
      </c>
      <c r="D46" s="15" t="n">
        <v>0</v>
      </c>
      <c r="E46" s="15" t="n">
        <v>0</v>
      </c>
      <c r="F46" s="16">
        <f>IF(AND(C46&lt;&gt;"",D46&lt;&gt;"",E46&lt;&gt;""),(C46+4*D46+E46)/6,0)</f>
        <v/>
      </c>
      <c r="G46" s="15" t="inlineStr">
        <is>
          <t>No</t>
        </is>
      </c>
      <c r="H46" s="16">
        <f>IF(G46="Yes",ROUND(D46*$B$7,1),0)</f>
        <v/>
      </c>
      <c r="I46" s="16">
        <f>F46+H46</f>
        <v/>
      </c>
      <c r="J46" s="15" t="inlineStr">
        <is>
          <t>Post-MVP</t>
        </is>
      </c>
      <c r="K46" s="15" t="inlineStr">
        <is>
          <t>Post-MVP Enhancement</t>
        </is>
      </c>
      <c r="L46" s="15" t="n"/>
      <c r="M46" s="15" t="n"/>
      <c r="N46" s="15" t="n"/>
      <c r="O46" s="15" t="n"/>
    </row>
    <row r="47" ht="15.75" customHeight="1" s="27">
      <c r="A47" s="12" t="inlineStr">
        <is>
          <t>QA-A.2</t>
        </is>
      </c>
      <c r="B47" s="12" t="inlineStr">
        <is>
          <t>Environment Setup</t>
        </is>
      </c>
      <c r="C47" s="15" t="n">
        <v>0</v>
      </c>
      <c r="D47" s="15" t="n">
        <v>0</v>
      </c>
      <c r="E47" s="15" t="n">
        <v>0</v>
      </c>
      <c r="F47" s="16">
        <f>IF(AND(C47&lt;&gt;"",D47&lt;&gt;"",E47&lt;&gt;""),(C47+4*D47+E47)/6,0)</f>
        <v/>
      </c>
      <c r="G47" s="15" t="inlineStr">
        <is>
          <t>No</t>
        </is>
      </c>
      <c r="H47" s="16">
        <f>IF(G47="Yes",ROUND(D47*$B$7,1),0)</f>
        <v/>
      </c>
      <c r="I47" s="16">
        <f>F47+H47</f>
        <v/>
      </c>
      <c r="J47" s="15" t="inlineStr">
        <is>
          <t>Post-MVP</t>
        </is>
      </c>
      <c r="K47" s="15" t="inlineStr">
        <is>
          <t>Post-MVP Enhancement</t>
        </is>
      </c>
      <c r="L47" s="15" t="n"/>
      <c r="M47" s="15" t="n"/>
      <c r="N47" s="15" t="n"/>
      <c r="O47" s="15" t="n"/>
    </row>
    <row r="48" ht="15.75" customHeight="1" s="27">
      <c r="A48" s="12" t="inlineStr">
        <is>
          <t>QA-A.3</t>
        </is>
      </c>
      <c r="B48" s="12" t="inlineStr">
        <is>
          <t>CI/CD integration</t>
        </is>
      </c>
      <c r="C48" s="15" t="n">
        <v>0</v>
      </c>
      <c r="D48" s="15" t="n">
        <v>0</v>
      </c>
      <c r="E48" s="15" t="n">
        <v>0</v>
      </c>
      <c r="F48" s="16">
        <f>IF(AND(C48&lt;&gt;"",D48&lt;&gt;"",E48&lt;&gt;""),(C48+4*D48+E48)/6,0)</f>
        <v/>
      </c>
      <c r="G48" s="15" t="inlineStr">
        <is>
          <t>No</t>
        </is>
      </c>
      <c r="H48" s="16">
        <f>IF(G48="Yes",ROUND(D48*$B$7,1),0)</f>
        <v/>
      </c>
      <c r="I48" s="16">
        <f>F48+H48</f>
        <v/>
      </c>
      <c r="J48" s="15" t="inlineStr">
        <is>
          <t>Post-MVP</t>
        </is>
      </c>
      <c r="K48" s="15" t="inlineStr">
        <is>
          <t>Post-MVP Enhancement</t>
        </is>
      </c>
      <c r="L48" s="15" t="n"/>
      <c r="M48" s="15" t="n"/>
      <c r="N48" s="15" t="n"/>
      <c r="O48" s="15" t="n"/>
    </row>
    <row r="49" ht="15.75" customHeight="1" s="27">
      <c r="A49" s="12" t="inlineStr">
        <is>
          <t>QA-A.4</t>
        </is>
      </c>
      <c r="B49" s="12" t="inlineStr">
        <is>
          <t>Test development &amp; execution</t>
        </is>
      </c>
      <c r="C49" s="15" t="n">
        <v>0</v>
      </c>
      <c r="D49" s="15" t="n">
        <v>0</v>
      </c>
      <c r="E49" s="15" t="n">
        <v>0</v>
      </c>
      <c r="F49" s="16">
        <f>IF(AND(C49&lt;&gt;"",D49&lt;&gt;"",E49&lt;&gt;""),(C49+4*D49+E49)/6,0)</f>
        <v/>
      </c>
      <c r="G49" s="15" t="inlineStr">
        <is>
          <t>No</t>
        </is>
      </c>
      <c r="H49" s="16">
        <f>IF(G49="Yes",ROUND(D49*$B$7,1),0)</f>
        <v/>
      </c>
      <c r="I49" s="16">
        <f>F49+H49</f>
        <v/>
      </c>
      <c r="J49" s="15" t="inlineStr">
        <is>
          <t>Post-MVP</t>
        </is>
      </c>
      <c r="K49" s="15" t="inlineStr">
        <is>
          <t>Post-MVP Enhancement</t>
        </is>
      </c>
      <c r="L49" s="15" t="n"/>
      <c r="M49" s="15" t="n"/>
      <c r="N49" s="15" t="n"/>
      <c r="O49" s="15" t="n"/>
    </row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49" showDropDown="0" showInputMessage="0" showErrorMessage="0" allowBlank="1" type="list">
      <formula1>"Discovery,Implementation,Post-MVP Enhancement,Maintenance"</formula1>
    </dataValidation>
    <dataValidation sqref="J12:J49" showDropDown="0" showInputMessage="0" showErrorMessage="0" allowBlank="1" type="list">
      <formula1>"Included,Not included,Post-MVP,Select"</formula1>
    </dataValidation>
    <dataValidation sqref="G12:G49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DevOps Estimation</t>
        </is>
      </c>
    </row>
    <row r="2" ht="48" customHeight="1" s="27">
      <c r="A2" s="7" t="inlineStr">
        <is>
          <t>Purpose:</t>
        </is>
      </c>
      <c r="B2" s="28" t="inlineStr">
        <is>
          <t>Cloud-agnostic DevOps WBS: cost modelling, repo/IAM/CI tooling, environment build (Dev/Test/Stage/Prod), SSDLC pipelines, monitoring, backup/DR. Replaces the v1.4 single 'DevOps' role line with no hours.</t>
        </is>
      </c>
    </row>
    <row r="3" ht="48" customHeight="1" s="27">
      <c r="A3" s="7" t="inlineStr">
        <is>
          <t>How to use:</t>
        </is>
      </c>
      <c r="B3" s="28" t="inlineStr">
        <is>
          <t>(1) Estimate Discovery cost-modelling activities first — they shape the cloud bill. (2) For environment rows, repeat the block per environment (Dev/Test/Stage/Prod). (3) Apply Contingency = Yes on cloud-vendor-dependent items (DNS, SSL, KMS, networking) where vendor surprises bite. (4) Toggle iOS/Android pipelines off if not applicable.</t>
        </is>
      </c>
    </row>
    <row r="4" ht="30" customHeight="1" s="27">
      <c r="A4" s="7" t="inlineStr">
        <is>
          <t>Inputs:</t>
        </is>
      </c>
      <c r="B4" s="28" t="inlineStr">
        <is>
          <t>O/ML/P per row, Apply Contingency Y/N, Include, Phase, Deliverable.</t>
        </is>
      </c>
    </row>
    <row r="5" ht="30" customHeight="1" s="27">
      <c r="A5" s="7" t="inlineStr">
        <is>
          <t>Outputs:</t>
        </is>
      </c>
      <c r="B5" s="28" t="inlineStr">
        <is>
          <t>DevOps roll-up flows to Buffers and Headcount and Cost.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(DevOps roll-up). Headcount and Cost (DevOps estimated hours). Fixed Costs (cloud bill — typically reflected as separate line items).</t>
        </is>
      </c>
    </row>
    <row r="7">
      <c r="A7" s="14" t="inlineStr">
        <is>
          <t>Default contingency:</t>
        </is>
      </c>
      <c r="B7" s="23" t="n">
        <v>0.3</v>
      </c>
      <c r="C7" s="12" t="inlineStr">
        <is>
          <t>(used when Apply Contingency = Yes; multiplied by Most Likely)</t>
        </is>
      </c>
    </row>
    <row r="8">
      <c r="A8" s="5" t="inlineStr">
        <is>
          <t>Cloud-agnostic DevOps catalogue. 30% default contingency reflects environment / vendor uncertainty.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SUM(C12:C54)</f>
        <v/>
      </c>
      <c r="D11" s="16">
        <f>SUM(D12:D54)</f>
        <v/>
      </c>
      <c r="E11" s="16">
        <f>SUM(E12:E54)</f>
        <v/>
      </c>
      <c r="F11" s="12">
        <f>SUM(F12:F54)</f>
        <v/>
      </c>
      <c r="H11" s="12">
        <f>SUM(H12:H54)</f>
        <v/>
      </c>
      <c r="I11" s="12">
        <f>SUMIF(J12:J54,"Included",I12:I54)</f>
        <v/>
      </c>
      <c r="J11" s="12" t="inlineStr">
        <is>
          <t>(only Included counted at right)</t>
        </is>
      </c>
    </row>
    <row r="12">
      <c r="A12" s="21" t="inlineStr">
        <is>
          <t>DO-1</t>
        </is>
      </c>
      <c r="B12" s="21" t="inlineStr">
        <is>
          <t>Discovery — cost / sizing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DO-1.1</t>
        </is>
      </c>
      <c r="B13" s="12" t="inlineStr">
        <is>
          <t>Estimation of infra cost (10k MAU baseline)</t>
        </is>
      </c>
      <c r="C13" s="15" t="n">
        <v>10</v>
      </c>
      <c r="D13" s="15" t="n">
        <v>10</v>
      </c>
      <c r="E13" s="15" t="n">
        <v>8</v>
      </c>
      <c r="F13" s="16">
        <f>IF(AND(C13&lt;&gt;"",D13&lt;&gt;"",E13&lt;&gt;""),(C13+4*D13+E13)/6,0)</f>
        <v/>
      </c>
      <c r="G13" s="15" t="inlineStr">
        <is>
          <t>Yes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inlineStr">
        <is>
          <t>Infra cost model</t>
        </is>
      </c>
      <c r="M13" s="15" t="n"/>
      <c r="N13" s="15" t="n"/>
      <c r="O13" s="15" t="n"/>
    </row>
    <row r="14">
      <c r="A14" s="12" t="inlineStr">
        <is>
          <t>DO-1.2</t>
        </is>
      </c>
      <c r="B14" s="12" t="inlineStr">
        <is>
          <t>Additional services costs</t>
        </is>
      </c>
      <c r="C14" s="15" t="n">
        <v>5</v>
      </c>
      <c r="D14" s="15" t="n">
        <v>5</v>
      </c>
      <c r="E14" s="15" t="n">
        <v>4</v>
      </c>
      <c r="F14" s="16">
        <f>IF(AND(C14&lt;&gt;"",D14&lt;&gt;"",E14&lt;&gt;""),(C14+4*D14+E14)/6,0)</f>
        <v/>
      </c>
      <c r="G14" s="15" t="inlineStr">
        <is>
          <t>Yes</t>
        </is>
      </c>
      <c r="H14" s="16">
        <f>IF(G14="Yes",ROUND(D14*$B$7,1),0)</f>
        <v/>
      </c>
      <c r="I14" s="16">
        <f>F14+H14</f>
        <v/>
      </c>
      <c r="J14" s="15" t="inlineStr">
        <is>
          <t>Included</t>
        </is>
      </c>
      <c r="K14" s="15" t="inlineStr">
        <is>
          <t>Discovery</t>
        </is>
      </c>
      <c r="L14" s="15" t="n"/>
      <c r="M14" s="15" t="n"/>
      <c r="N14" s="15" t="n"/>
      <c r="O14" s="15" t="n"/>
    </row>
    <row r="15">
      <c r="A15" s="12" t="inlineStr">
        <is>
          <t>DO-1.3</t>
        </is>
      </c>
      <c r="B15" s="12" t="inlineStr">
        <is>
          <t>Cost optimization options</t>
        </is>
      </c>
      <c r="C15" s="15" t="n">
        <v>8</v>
      </c>
      <c r="D15" s="15" t="n">
        <v>11</v>
      </c>
      <c r="E15" s="15" t="n">
        <v>11</v>
      </c>
      <c r="F15" s="16">
        <f>IF(AND(C15&lt;&gt;"",D15&lt;&gt;"",E15&lt;&gt;""),(C15+4*D15+E15)/6,0)</f>
        <v/>
      </c>
      <c r="G15" s="15" t="inlineStr">
        <is>
          <t>Yes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n"/>
      <c r="M15" s="15" t="n"/>
      <c r="N15" s="15" t="n"/>
      <c r="O15" s="15" t="n"/>
    </row>
    <row r="16">
      <c r="A16" s="12" t="inlineStr">
        <is>
          <t>DO-1.4</t>
        </is>
      </c>
      <c r="B16" s="12" t="inlineStr">
        <is>
          <t>Customer presentation of cost model</t>
        </is>
      </c>
      <c r="C16" s="15" t="n">
        <v>3</v>
      </c>
      <c r="D16" s="15" t="n">
        <v>4</v>
      </c>
      <c r="E16" s="15" t="n">
        <v>4</v>
      </c>
      <c r="F16" s="16">
        <f>IF(AND(C16&lt;&gt;"",D16&lt;&gt;"",E16&lt;&gt;""),(C16+4*D16+E16)/6,0)</f>
        <v/>
      </c>
      <c r="G16" s="15" t="inlineStr">
        <is>
          <t>Yes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Discovery</t>
        </is>
      </c>
      <c r="L16" s="15" t="n"/>
      <c r="M16" s="15" t="n"/>
      <c r="N16" s="15" t="n"/>
      <c r="O16" s="15" t="n"/>
    </row>
    <row r="17">
      <c r="A17" s="21" t="inlineStr">
        <is>
          <t>DO-2</t>
        </is>
      </c>
      <c r="B17" s="21" t="inlineStr">
        <is>
          <t>Implementation — preparing tooling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12" t="inlineStr">
        <is>
          <t>DO-2.1</t>
        </is>
      </c>
      <c r="B18" s="12" t="inlineStr">
        <is>
          <t>Pre-flight artefact check</t>
        </is>
      </c>
      <c r="C18" s="15" t="n">
        <v>2</v>
      </c>
      <c r="D18" s="15" t="n">
        <v>3</v>
      </c>
      <c r="E18" s="15" t="n">
        <v>2</v>
      </c>
      <c r="F18" s="16">
        <f>IF(AND(C18&lt;&gt;"",D18&lt;&gt;"",E18&lt;&gt;""),(C18+4*D18+E18)/6,0)</f>
        <v/>
      </c>
      <c r="G18" s="15" t="inlineStr">
        <is>
          <t>No</t>
        </is>
      </c>
      <c r="H18" s="16">
        <f>IF(G18="Yes",ROUND(D18*$B$7,1),0)</f>
        <v/>
      </c>
      <c r="I18" s="16">
        <f>F18+H18</f>
        <v/>
      </c>
      <c r="J18" s="15" t="inlineStr">
        <is>
          <t>Included</t>
        </is>
      </c>
      <c r="K18" s="15" t="inlineStr">
        <is>
          <t>Implementation</t>
        </is>
      </c>
      <c r="L18" s="15" t="n"/>
      <c r="M18" s="15" t="n"/>
      <c r="N18" s="15" t="n"/>
      <c r="O18" s="15" t="n"/>
    </row>
    <row r="19">
      <c r="A19" s="12" t="inlineStr">
        <is>
          <t>DO-2.2</t>
        </is>
      </c>
      <c r="B19" s="12" t="inlineStr">
        <is>
          <t>Setup repositories (VCS)</t>
        </is>
      </c>
      <c r="C19" s="15" t="n">
        <v>2</v>
      </c>
      <c r="D19" s="15" t="n">
        <v>3</v>
      </c>
      <c r="E19" s="15" t="n">
        <v>2</v>
      </c>
      <c r="F19" s="16">
        <f>IF(AND(C19&lt;&gt;"",D19&lt;&gt;"",E19&lt;&gt;""),(C19+4*D19+E19)/6,0)</f>
        <v/>
      </c>
      <c r="G19" s="15" t="inlineStr">
        <is>
          <t>No</t>
        </is>
      </c>
      <c r="H19" s="16">
        <f>IF(G19="Yes",ROUND(D19*$B$7,1),0)</f>
        <v/>
      </c>
      <c r="I19" s="16">
        <f>F19+H19</f>
        <v/>
      </c>
      <c r="J19" s="15" t="inlineStr">
        <is>
          <t>Included</t>
        </is>
      </c>
      <c r="K19" s="15" t="inlineStr">
        <is>
          <t>Implementation</t>
        </is>
      </c>
      <c r="L19" s="15" t="n"/>
      <c r="M19" s="15" t="n"/>
      <c r="N19" s="15" t="n"/>
      <c r="O19" s="15" t="n"/>
    </row>
    <row r="20">
      <c r="A20" s="12" t="inlineStr">
        <is>
          <t>DO-2.3</t>
        </is>
      </c>
      <c r="B20" s="12" t="inlineStr">
        <is>
          <t>Setup domain names &amp; DNS</t>
        </is>
      </c>
      <c r="C20" s="15" t="n">
        <v>2</v>
      </c>
      <c r="D20" s="15" t="n">
        <v>3</v>
      </c>
      <c r="E20" s="15" t="n">
        <v>2</v>
      </c>
      <c r="F20" s="16">
        <f>IF(AND(C20&lt;&gt;"",D20&lt;&gt;"",E20&lt;&gt;""),(C20+4*D20+E20)/6,0)</f>
        <v/>
      </c>
      <c r="G20" s="15" t="inlineStr">
        <is>
          <t>Yes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Implementation</t>
        </is>
      </c>
      <c r="L20" s="15" t="n"/>
      <c r="M20" s="15" t="n"/>
      <c r="N20" s="15" t="n"/>
      <c r="O20" s="15" t="n"/>
    </row>
    <row r="21" ht="15.75" customHeight="1" s="27">
      <c r="A21" s="12" t="inlineStr">
        <is>
          <t>DO-2.4</t>
        </is>
      </c>
      <c r="B21" s="12" t="inlineStr">
        <is>
          <t>IAM roles for team members</t>
        </is>
      </c>
      <c r="C21" s="15" t="n">
        <v>4</v>
      </c>
      <c r="D21" s="15" t="n">
        <v>6</v>
      </c>
      <c r="E21" s="15" t="n">
        <v>4</v>
      </c>
      <c r="F21" s="16">
        <f>IF(AND(C21&lt;&gt;"",D21&lt;&gt;"",E21&lt;&gt;""),(C21+4*D21+E21)/6,0)</f>
        <v/>
      </c>
      <c r="G21" s="15" t="inlineStr">
        <is>
          <t>No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Implementation</t>
        </is>
      </c>
      <c r="L21" s="15" t="n"/>
      <c r="M21" s="15" t="n"/>
      <c r="N21" s="15" t="n"/>
      <c r="O21" s="15" t="n"/>
    </row>
    <row r="22" ht="15.75" customHeight="1" s="27">
      <c r="A22" s="12" t="inlineStr">
        <is>
          <t>DO-2.5</t>
        </is>
      </c>
      <c r="B22" s="12" t="inlineStr">
        <is>
          <t>Package registry</t>
        </is>
      </c>
      <c r="C22" s="15" t="n">
        <v>2</v>
      </c>
      <c r="D22" s="15" t="n">
        <v>2</v>
      </c>
      <c r="E22" s="15" t="n">
        <v>2</v>
      </c>
      <c r="F22" s="16">
        <f>IF(AND(C22&lt;&gt;"",D22&lt;&gt;"",E22&lt;&gt;""),(C22+4*D22+E22)/6,0)</f>
        <v/>
      </c>
      <c r="G22" s="15" t="inlineStr">
        <is>
          <t>No</t>
        </is>
      </c>
      <c r="H22" s="16">
        <f>IF(G22="Yes",ROUND(D22*$B$7,1),0)</f>
        <v/>
      </c>
      <c r="I22" s="16">
        <f>F22+H22</f>
        <v/>
      </c>
      <c r="J22" s="15" t="inlineStr">
        <is>
          <t>Included</t>
        </is>
      </c>
      <c r="K22" s="15" t="inlineStr">
        <is>
          <t>Implementation</t>
        </is>
      </c>
      <c r="L22" s="15" t="n"/>
      <c r="M22" s="15" t="n"/>
      <c r="N22" s="15" t="n"/>
      <c r="O22" s="15" t="n"/>
    </row>
    <row r="23" ht="15.75" customHeight="1" s="27">
      <c r="A23" s="12" t="inlineStr">
        <is>
          <t>DO-2.6</t>
        </is>
      </c>
      <c r="B23" s="12" t="inlineStr">
        <is>
          <t>CI/CD management system</t>
        </is>
      </c>
      <c r="C23" s="15" t="n">
        <v>8</v>
      </c>
      <c r="D23" s="15" t="n">
        <v>11</v>
      </c>
      <c r="E23" s="15" t="n">
        <v>8</v>
      </c>
      <c r="F23" s="16">
        <f>IF(AND(C23&lt;&gt;"",D23&lt;&gt;"",E23&lt;&gt;""),(C23+4*D23+E23)/6,0)</f>
        <v/>
      </c>
      <c r="G23" s="15" t="inlineStr">
        <is>
          <t>No</t>
        </is>
      </c>
      <c r="H23" s="16">
        <f>IF(G23="Yes",ROUND(D23*$B$7,1),0)</f>
        <v/>
      </c>
      <c r="I23" s="16">
        <f>F23+H23</f>
        <v/>
      </c>
      <c r="J23" s="15" t="inlineStr">
        <is>
          <t>Included</t>
        </is>
      </c>
      <c r="K23" s="15" t="inlineStr">
        <is>
          <t>Implementation</t>
        </is>
      </c>
      <c r="L23" s="15" t="n"/>
      <c r="M23" s="15" t="n"/>
      <c r="N23" s="15" t="n"/>
      <c r="O23" s="15" t="n"/>
    </row>
    <row r="24" ht="15.75" customHeight="1" s="27">
      <c r="A24" s="12" t="inlineStr">
        <is>
          <t>DO-2.7</t>
        </is>
      </c>
      <c r="B24" s="12" t="inlineStr">
        <is>
          <t>Quality gate analyzer</t>
        </is>
      </c>
      <c r="C24" s="15" t="n">
        <v>3</v>
      </c>
      <c r="D24" s="15" t="n">
        <v>4</v>
      </c>
      <c r="E24" s="15" t="n">
        <v>3</v>
      </c>
      <c r="F24" s="16">
        <f>IF(AND(C24&lt;&gt;"",D24&lt;&gt;"",E24&lt;&gt;""),(C24+4*D24+E24)/6,0)</f>
        <v/>
      </c>
      <c r="G24" s="15" t="inlineStr">
        <is>
          <t>Yes</t>
        </is>
      </c>
      <c r="H24" s="16">
        <f>IF(G24="Yes",ROUND(D24*$B$7,1),0)</f>
        <v/>
      </c>
      <c r="I24" s="16">
        <f>F24+H24</f>
        <v/>
      </c>
      <c r="J24" s="15" t="inlineStr">
        <is>
          <t>Included</t>
        </is>
      </c>
      <c r="K24" s="15" t="inlineStr">
        <is>
          <t>Implementation</t>
        </is>
      </c>
      <c r="L24" s="15" t="n"/>
      <c r="M24" s="15" t="n"/>
      <c r="N24" s="15" t="n"/>
      <c r="O24" s="15" t="n"/>
    </row>
    <row r="25" ht="15.75" customHeight="1" s="27">
      <c r="A25" s="12" t="inlineStr">
        <is>
          <t>DO-2.8</t>
        </is>
      </c>
      <c r="B25" s="12" t="inlineStr">
        <is>
          <t>OWASP / dependency scanning</t>
        </is>
      </c>
      <c r="C25" s="15" t="n">
        <v>8</v>
      </c>
      <c r="D25" s="15" t="n">
        <v>11</v>
      </c>
      <c r="E25" s="15" t="n">
        <v>8</v>
      </c>
      <c r="F25" s="16">
        <f>IF(AND(C25&lt;&gt;"",D25&lt;&gt;"",E25&lt;&gt;""),(C25+4*D25+E25)/6,0)</f>
        <v/>
      </c>
      <c r="G25" s="15" t="inlineStr">
        <is>
          <t>Yes</t>
        </is>
      </c>
      <c r="H25" s="16">
        <f>IF(G25="Yes",ROUND(D25*$B$7,1),0)</f>
        <v/>
      </c>
      <c r="I25" s="16">
        <f>F25+H25</f>
        <v/>
      </c>
      <c r="J25" s="15" t="inlineStr">
        <is>
          <t>Included</t>
        </is>
      </c>
      <c r="K25" s="15" t="inlineStr">
        <is>
          <t>Implementation</t>
        </is>
      </c>
      <c r="L25" s="15" t="n"/>
      <c r="M25" s="15" t="n"/>
      <c r="N25" s="15" t="n"/>
      <c r="O25" s="15" t="n"/>
    </row>
    <row r="26" ht="15.75" customHeight="1" s="27">
      <c r="A26" s="12" t="inlineStr">
        <is>
          <t>DO-2.9</t>
        </is>
      </c>
      <c r="B26" s="12" t="inlineStr">
        <is>
          <t>IaC tools setup (Terraform/Pulumi)</t>
        </is>
      </c>
      <c r="C26" s="15" t="n">
        <v>8</v>
      </c>
      <c r="D26" s="15" t="n">
        <v>11</v>
      </c>
      <c r="E26" s="15" t="n">
        <v>8</v>
      </c>
      <c r="F26" s="16">
        <f>IF(AND(C26&lt;&gt;"",D26&lt;&gt;"",E26&lt;&gt;""),(C26+4*D26+E26)/6,0)</f>
        <v/>
      </c>
      <c r="G26" s="15" t="inlineStr">
        <is>
          <t>No</t>
        </is>
      </c>
      <c r="H26" s="16">
        <f>IF(G26="Yes",ROUND(D26*$B$7,1),0)</f>
        <v/>
      </c>
      <c r="I26" s="16">
        <f>F26+H26</f>
        <v/>
      </c>
      <c r="J26" s="15" t="inlineStr">
        <is>
          <t>Included</t>
        </is>
      </c>
      <c r="K26" s="15" t="inlineStr">
        <is>
          <t>Implementation</t>
        </is>
      </c>
      <c r="L26" s="15" t="n"/>
      <c r="M26" s="15" t="n"/>
      <c r="N26" s="15" t="n"/>
      <c r="O26" s="15" t="n"/>
    </row>
    <row r="27" ht="15.75" customHeight="1" s="27">
      <c r="A27" s="12" t="inlineStr">
        <is>
          <t>DO-2.10</t>
        </is>
      </c>
      <c r="B27" s="12" t="inlineStr">
        <is>
          <t>PaaS framework adaptation</t>
        </is>
      </c>
      <c r="C27" s="15" t="n">
        <v>24</v>
      </c>
      <c r="D27" s="15" t="n">
        <v>24</v>
      </c>
      <c r="E27" s="15" t="n">
        <v>24</v>
      </c>
      <c r="F27" s="16">
        <f>IF(AND(C27&lt;&gt;"",D27&lt;&gt;"",E27&lt;&gt;""),(C27+4*D27+E27)/6,0)</f>
        <v/>
      </c>
      <c r="G27" s="15" t="inlineStr">
        <is>
          <t>Yes</t>
        </is>
      </c>
      <c r="H27" s="16">
        <f>IF(G27="Yes",ROUND(D27*$B$7,1),0)</f>
        <v/>
      </c>
      <c r="I27" s="16">
        <f>F27+H27</f>
        <v/>
      </c>
      <c r="J27" s="15" t="inlineStr">
        <is>
          <t>Included</t>
        </is>
      </c>
      <c r="K27" s="15" t="inlineStr">
        <is>
          <t>Implementation</t>
        </is>
      </c>
      <c r="L27" s="15" t="n"/>
      <c r="M27" s="15" t="n"/>
      <c r="N27" s="15" t="n"/>
      <c r="O27" s="15" t="n"/>
    </row>
    <row r="28" ht="15.75" customHeight="1" s="27">
      <c r="A28" s="21" t="inlineStr">
        <is>
          <t>DO-3</t>
        </is>
      </c>
      <c r="B28" s="21" t="inlineStr">
        <is>
          <t>Environments — Development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27">
      <c r="A29" s="12" t="inlineStr">
        <is>
          <t>DO-3.1</t>
        </is>
      </c>
      <c r="B29" s="12" t="inlineStr">
        <is>
          <t>Dev account setup</t>
        </is>
      </c>
      <c r="C29" s="15" t="n">
        <v>2</v>
      </c>
      <c r="D29" s="15" t="n">
        <v>3</v>
      </c>
      <c r="E29" s="15" t="n">
        <v>3</v>
      </c>
      <c r="F29" s="16">
        <f>IF(AND(C29&lt;&gt;"",D29&lt;&gt;"",E29&lt;&gt;""),(C29+4*D29+E29)/6,0)</f>
        <v/>
      </c>
      <c r="G29" s="15" t="inlineStr">
        <is>
          <t>Yes</t>
        </is>
      </c>
      <c r="H29" s="16">
        <f>IF(G29="Yes",ROUND(D29*$B$7,1),0)</f>
        <v/>
      </c>
      <c r="I29" s="16">
        <f>F29+H29</f>
        <v/>
      </c>
      <c r="J29" s="15" t="inlineStr">
        <is>
          <t>Included</t>
        </is>
      </c>
      <c r="K29" s="15" t="inlineStr">
        <is>
          <t>Implementation</t>
        </is>
      </c>
      <c r="L29" s="15" t="n"/>
      <c r="M29" s="15" t="n"/>
      <c r="N29" s="15" t="n"/>
      <c r="O29" s="15" t="n"/>
    </row>
    <row r="30" ht="15.75" customHeight="1" s="27">
      <c r="A30" s="12" t="inlineStr">
        <is>
          <t>DO-3.2</t>
        </is>
      </c>
      <c r="B30" s="12" t="inlineStr">
        <is>
          <t>FE deployment in Dev</t>
        </is>
      </c>
      <c r="C30" s="15" t="n">
        <v>3</v>
      </c>
      <c r="D30" s="15" t="n">
        <v>4</v>
      </c>
      <c r="E30" s="15" t="n">
        <v>4</v>
      </c>
      <c r="F30" s="16">
        <f>IF(AND(C30&lt;&gt;"",D30&lt;&gt;"",E30&lt;&gt;""),(C30+4*D30+E30)/6,0)</f>
        <v/>
      </c>
      <c r="G30" s="15" t="inlineStr">
        <is>
          <t>No</t>
        </is>
      </c>
      <c r="H30" s="16">
        <f>IF(G30="Yes",ROUND(D30*$B$7,1),0)</f>
        <v/>
      </c>
      <c r="I30" s="16">
        <f>F30+H30</f>
        <v/>
      </c>
      <c r="J30" s="15" t="inlineStr">
        <is>
          <t>Included</t>
        </is>
      </c>
      <c r="K30" s="15" t="inlineStr">
        <is>
          <t>Implementation</t>
        </is>
      </c>
      <c r="L30" s="15" t="n"/>
      <c r="M30" s="15" t="n"/>
      <c r="N30" s="15" t="n"/>
      <c r="O30" s="15" t="n"/>
    </row>
    <row r="31" ht="15.75" customHeight="1" s="27">
      <c r="A31" s="12" t="inlineStr">
        <is>
          <t>DO-3.3</t>
        </is>
      </c>
      <c r="B31" s="12" t="inlineStr">
        <is>
          <t>BE infrastructure (containers/K8s)</t>
        </is>
      </c>
      <c r="C31" s="15" t="n">
        <v>16</v>
      </c>
      <c r="D31" s="15" t="n">
        <v>16</v>
      </c>
      <c r="E31" s="15" t="n">
        <v>24</v>
      </c>
      <c r="F31" s="16">
        <f>IF(AND(C31&lt;&gt;"",D31&lt;&gt;"",E31&lt;&gt;""),(C31+4*D31+E31)/6,0)</f>
        <v/>
      </c>
      <c r="G31" s="15" t="inlineStr">
        <is>
          <t>No</t>
        </is>
      </c>
      <c r="H31" s="16">
        <f>IF(G31="Yes",ROUND(D31*$B$7,1),0)</f>
        <v/>
      </c>
      <c r="I31" s="16">
        <f>F31+H31</f>
        <v/>
      </c>
      <c r="J31" s="15" t="inlineStr">
        <is>
          <t>Included</t>
        </is>
      </c>
      <c r="K31" s="15" t="inlineStr">
        <is>
          <t>Implementation</t>
        </is>
      </c>
      <c r="L31" s="15" t="n"/>
      <c r="M31" s="15" t="n"/>
      <c r="N31" s="15" t="n"/>
      <c r="O31" s="15" t="n"/>
    </row>
    <row r="32" ht="15.75" customHeight="1" s="27">
      <c r="A32" s="12" t="inlineStr">
        <is>
          <t>DO-3.4</t>
        </is>
      </c>
      <c r="B32" s="12" t="inlineStr">
        <is>
          <t>VPC / subnets / security groups</t>
        </is>
      </c>
      <c r="C32" s="15" t="n">
        <v>2</v>
      </c>
      <c r="D32" s="15" t="n">
        <v>3</v>
      </c>
      <c r="E32" s="15" t="n">
        <v>3</v>
      </c>
      <c r="F32" s="16">
        <f>IF(AND(C32&lt;&gt;"",D32&lt;&gt;"",E32&lt;&gt;""),(C32+4*D32+E32)/6,0)</f>
        <v/>
      </c>
      <c r="G32" s="15" t="inlineStr">
        <is>
          <t>No</t>
        </is>
      </c>
      <c r="H32" s="16">
        <f>IF(G32="Yes",ROUND(D32*$B$7,1),0)</f>
        <v/>
      </c>
      <c r="I32" s="16">
        <f>F32+H32</f>
        <v/>
      </c>
      <c r="J32" s="15" t="inlineStr">
        <is>
          <t>Included</t>
        </is>
      </c>
      <c r="K32" s="15" t="inlineStr">
        <is>
          <t>Implementation</t>
        </is>
      </c>
      <c r="L32" s="15" t="n"/>
      <c r="M32" s="15" t="n"/>
      <c r="N32" s="15" t="n"/>
      <c r="O32" s="15" t="n"/>
    </row>
    <row r="33" ht="15.75" customHeight="1" s="27">
      <c r="A33" s="12" t="inlineStr">
        <is>
          <t>DO-3.5</t>
        </is>
      </c>
      <c r="B33" s="12" t="inlineStr">
        <is>
          <t>VPN access</t>
        </is>
      </c>
      <c r="C33" s="15" t="n">
        <v>8</v>
      </c>
      <c r="D33" s="15" t="n">
        <v>8</v>
      </c>
      <c r="E33" s="15" t="n">
        <v>10</v>
      </c>
      <c r="F33" s="16">
        <f>IF(AND(C33&lt;&gt;"",D33&lt;&gt;"",E33&lt;&gt;""),(C33+4*D33+E33)/6,0)</f>
        <v/>
      </c>
      <c r="G33" s="15" t="inlineStr">
        <is>
          <t>No</t>
        </is>
      </c>
      <c r="H33" s="16">
        <f>IF(G33="Yes",ROUND(D33*$B$7,1),0)</f>
        <v/>
      </c>
      <c r="I33" s="16">
        <f>F33+H33</f>
        <v/>
      </c>
      <c r="J33" s="15" t="inlineStr">
        <is>
          <t>Included</t>
        </is>
      </c>
      <c r="K33" s="15" t="inlineStr">
        <is>
          <t>Implementation</t>
        </is>
      </c>
      <c r="L33" s="15" t="n"/>
      <c r="M33" s="15" t="n"/>
      <c r="N33" s="15" t="n"/>
      <c r="O33" s="15" t="n"/>
    </row>
    <row r="34" ht="15.75" customHeight="1" s="27">
      <c r="A34" s="12" t="inlineStr">
        <is>
          <t>DO-3.6</t>
        </is>
      </c>
      <c r="B34" s="12" t="inlineStr">
        <is>
          <t>ALB / target groups / WAF</t>
        </is>
      </c>
      <c r="C34" s="15" t="n">
        <v>6</v>
      </c>
      <c r="D34" s="15" t="n">
        <v>6</v>
      </c>
      <c r="E34" s="15" t="n">
        <v>9</v>
      </c>
      <c r="F34" s="16">
        <f>IF(AND(C34&lt;&gt;"",D34&lt;&gt;"",E34&lt;&gt;""),(C34+4*D34+E34)/6,0)</f>
        <v/>
      </c>
      <c r="G34" s="15" t="inlineStr">
        <is>
          <t>No</t>
        </is>
      </c>
      <c r="H34" s="16">
        <f>IF(G34="Yes",ROUND(D34*$B$7,1),0)</f>
        <v/>
      </c>
      <c r="I34" s="16">
        <f>F34+H34</f>
        <v/>
      </c>
      <c r="J34" s="15" t="inlineStr">
        <is>
          <t>Included</t>
        </is>
      </c>
      <c r="K34" s="15" t="inlineStr">
        <is>
          <t>Implementation</t>
        </is>
      </c>
      <c r="L34" s="15" t="n"/>
      <c r="M34" s="15" t="n"/>
      <c r="N34" s="15" t="n"/>
      <c r="O34" s="15" t="n"/>
    </row>
    <row r="35" ht="15.75" customHeight="1" s="27">
      <c r="A35" s="12" t="inlineStr">
        <is>
          <t>DO-3.7</t>
        </is>
      </c>
      <c r="B35" s="12" t="inlineStr">
        <is>
          <t>Object storage</t>
        </is>
      </c>
      <c r="C35" s="15" t="n">
        <v>1</v>
      </c>
      <c r="D35" s="15" t="n">
        <v>2</v>
      </c>
      <c r="E35" s="15" t="n">
        <v>2</v>
      </c>
      <c r="F35" s="16">
        <f>IF(AND(C35&lt;&gt;"",D35&lt;&gt;"",E35&lt;&gt;""),(C35+4*D35+E35)/6,0)</f>
        <v/>
      </c>
      <c r="G35" s="15" t="inlineStr">
        <is>
          <t>Yes</t>
        </is>
      </c>
      <c r="H35" s="16">
        <f>IF(G35="Yes",ROUND(D35*$B$7,1),0)</f>
        <v/>
      </c>
      <c r="I35" s="16">
        <f>F35+H35</f>
        <v/>
      </c>
      <c r="J35" s="15" t="inlineStr">
        <is>
          <t>Included</t>
        </is>
      </c>
      <c r="K35" s="15" t="inlineStr">
        <is>
          <t>Implementation</t>
        </is>
      </c>
      <c r="L35" s="15" t="n"/>
      <c r="M35" s="15" t="n"/>
      <c r="N35" s="15" t="n"/>
      <c r="O35" s="15" t="n"/>
    </row>
    <row r="36" ht="15.75" customHeight="1" s="27">
      <c r="A36" s="12" t="inlineStr">
        <is>
          <t>DO-3.8</t>
        </is>
      </c>
      <c r="B36" s="12" t="inlineStr">
        <is>
          <t>Relational DB</t>
        </is>
      </c>
      <c r="C36" s="15" t="n">
        <v>6</v>
      </c>
      <c r="D36" s="15" t="n">
        <v>6</v>
      </c>
      <c r="E36" s="15" t="n">
        <v>8</v>
      </c>
      <c r="F36" s="16">
        <f>IF(AND(C36&lt;&gt;"",D36&lt;&gt;"",E36&lt;&gt;""),(C36+4*D36+E36)/6,0)</f>
        <v/>
      </c>
      <c r="G36" s="15" t="inlineStr">
        <is>
          <t>Yes</t>
        </is>
      </c>
      <c r="H36" s="16">
        <f>IF(G36="Yes",ROUND(D36*$B$7,1),0)</f>
        <v/>
      </c>
      <c r="I36" s="16">
        <f>F36+H36</f>
        <v/>
      </c>
      <c r="J36" s="15" t="inlineStr">
        <is>
          <t>Included</t>
        </is>
      </c>
      <c r="K36" s="15" t="inlineStr">
        <is>
          <t>Implementation</t>
        </is>
      </c>
      <c r="L36" s="15" t="n"/>
      <c r="M36" s="15" t="n"/>
      <c r="N36" s="15" t="n"/>
      <c r="O36" s="15" t="n"/>
    </row>
    <row r="37" ht="15.75" customHeight="1" s="27">
      <c r="A37" s="12" t="inlineStr">
        <is>
          <t>DO-3.9</t>
        </is>
      </c>
      <c r="B37" s="12" t="inlineStr">
        <is>
          <t>Non-relational DB</t>
        </is>
      </c>
      <c r="C37" s="15" t="n">
        <v>4</v>
      </c>
      <c r="D37" s="15" t="n">
        <v>4</v>
      </c>
      <c r="E37" s="15" t="n">
        <v>6</v>
      </c>
      <c r="F37" s="16">
        <f>IF(AND(C37&lt;&gt;"",D37&lt;&gt;"",E37&lt;&gt;""),(C37+4*D37+E37)/6,0)</f>
        <v/>
      </c>
      <c r="G37" s="15" t="inlineStr">
        <is>
          <t>Yes</t>
        </is>
      </c>
      <c r="H37" s="16">
        <f>IF(G37="Yes",ROUND(D37*$B$7,1),0)</f>
        <v/>
      </c>
      <c r="I37" s="16">
        <f>F37+H37</f>
        <v/>
      </c>
      <c r="J37" s="15" t="inlineStr">
        <is>
          <t>Included</t>
        </is>
      </c>
      <c r="K37" s="15" t="inlineStr">
        <is>
          <t>Implementation</t>
        </is>
      </c>
      <c r="L37" s="15" t="n"/>
      <c r="M37" s="15" t="n"/>
      <c r="N37" s="15" t="n"/>
      <c r="O37" s="15" t="n"/>
    </row>
    <row r="38" ht="15.75" customHeight="1" s="27">
      <c r="A38" s="12" t="inlineStr">
        <is>
          <t>DO-3.10</t>
        </is>
      </c>
      <c r="B38" s="12" t="inlineStr">
        <is>
          <t>Cache (ElastiCache/Redis)</t>
        </is>
      </c>
      <c r="C38" s="15" t="n">
        <v>5</v>
      </c>
      <c r="D38" s="15" t="n">
        <v>5</v>
      </c>
      <c r="E38" s="15" t="n">
        <v>7</v>
      </c>
      <c r="F38" s="16">
        <f>IF(AND(C38&lt;&gt;"",D38&lt;&gt;"",E38&lt;&gt;""),(C38+4*D38+E38)/6,0)</f>
        <v/>
      </c>
      <c r="G38" s="15" t="inlineStr">
        <is>
          <t>Yes</t>
        </is>
      </c>
      <c r="H38" s="16">
        <f>IF(G38="Yes",ROUND(D38*$B$7,1),0)</f>
        <v/>
      </c>
      <c r="I38" s="16">
        <f>F38+H38</f>
        <v/>
      </c>
      <c r="J38" s="15" t="inlineStr">
        <is>
          <t>Included</t>
        </is>
      </c>
      <c r="K38" s="15" t="inlineStr">
        <is>
          <t>Implementation</t>
        </is>
      </c>
      <c r="L38" s="15" t="n"/>
      <c r="M38" s="15" t="n"/>
      <c r="N38" s="15" t="n"/>
      <c r="O38" s="15" t="n"/>
    </row>
    <row r="39" ht="15.75" customHeight="1" s="27">
      <c r="A39" s="12" t="inlineStr">
        <is>
          <t>DO-3.11</t>
        </is>
      </c>
      <c r="B39" s="12" t="inlineStr">
        <is>
          <t>CDN / distribution / cert</t>
        </is>
      </c>
      <c r="C39" s="15" t="n">
        <v>3</v>
      </c>
      <c r="D39" s="15" t="n">
        <v>5</v>
      </c>
      <c r="E39" s="15" t="n">
        <v>5</v>
      </c>
      <c r="F39" s="16">
        <f>IF(AND(C39&lt;&gt;"",D39&lt;&gt;"",E39&lt;&gt;""),(C39+4*D39+E39)/6,0)</f>
        <v/>
      </c>
      <c r="G39" s="15" t="inlineStr">
        <is>
          <t>Yes</t>
        </is>
      </c>
      <c r="H39" s="16">
        <f>IF(G39="Yes",ROUND(D39*$B$7,1),0)</f>
        <v/>
      </c>
      <c r="I39" s="16">
        <f>F39+H39</f>
        <v/>
      </c>
      <c r="J39" s="15" t="inlineStr">
        <is>
          <t>Included</t>
        </is>
      </c>
      <c r="K39" s="15" t="inlineStr">
        <is>
          <t>Implementation</t>
        </is>
      </c>
      <c r="L39" s="15" t="n"/>
      <c r="M39" s="15" t="n"/>
      <c r="N39" s="15" t="n"/>
      <c r="O39" s="15" t="n"/>
    </row>
    <row r="40" ht="15.75" customHeight="1" s="27">
      <c r="A40" s="21" t="inlineStr">
        <is>
          <t>DO-4</t>
        </is>
      </c>
      <c r="B40" s="21" t="inlineStr">
        <is>
          <t>Environments — Test / Stage / Prod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</row>
    <row r="41" ht="15.75" customHeight="1" s="27">
      <c r="A41" s="12" t="inlineStr">
        <is>
          <t>DO-4.1</t>
        </is>
      </c>
      <c r="B41" s="12" t="inlineStr">
        <is>
          <t>Test environment build</t>
        </is>
      </c>
      <c r="C41" s="15" t="n">
        <v>16</v>
      </c>
      <c r="D41" s="15" t="n">
        <v>24</v>
      </c>
      <c r="E41" s="15" t="n">
        <v>32</v>
      </c>
      <c r="F41" s="16">
        <f>IF(AND(C41&lt;&gt;"",D41&lt;&gt;"",E41&lt;&gt;""),(C41+4*D41+E41)/6,0)</f>
        <v/>
      </c>
      <c r="G41" s="15" t="inlineStr">
        <is>
          <t>Yes</t>
        </is>
      </c>
      <c r="H41" s="16">
        <f>IF(G41="Yes",ROUND(D41*$B$7,1),0)</f>
        <v/>
      </c>
      <c r="I41" s="16">
        <f>F41+H41</f>
        <v/>
      </c>
      <c r="J41" s="15" t="inlineStr">
        <is>
          <t>Included</t>
        </is>
      </c>
      <c r="K41" s="15" t="inlineStr">
        <is>
          <t>Implementation</t>
        </is>
      </c>
      <c r="L41" s="15" t="n"/>
      <c r="M41" s="15" t="n"/>
      <c r="N41" s="15" t="n"/>
      <c r="O41" s="15" t="n"/>
    </row>
    <row r="42" ht="15.75" customHeight="1" s="27">
      <c r="A42" s="12" t="inlineStr">
        <is>
          <t>DO-4.2</t>
        </is>
      </c>
      <c r="B42" s="12" t="inlineStr">
        <is>
          <t>Stage environment build</t>
        </is>
      </c>
      <c r="C42" s="15" t="n">
        <v>16</v>
      </c>
      <c r="D42" s="15" t="n">
        <v>24</v>
      </c>
      <c r="E42" s="15" t="n">
        <v>32</v>
      </c>
      <c r="F42" s="16">
        <f>IF(AND(C42&lt;&gt;"",D42&lt;&gt;"",E42&lt;&gt;""),(C42+4*D42+E42)/6,0)</f>
        <v/>
      </c>
      <c r="G42" s="15" t="inlineStr">
        <is>
          <t>Yes</t>
        </is>
      </c>
      <c r="H42" s="16">
        <f>IF(G42="Yes",ROUND(D42*$B$7,1),0)</f>
        <v/>
      </c>
      <c r="I42" s="16">
        <f>F42+H42</f>
        <v/>
      </c>
      <c r="J42" s="15" t="inlineStr">
        <is>
          <t>Included</t>
        </is>
      </c>
      <c r="K42" s="15" t="inlineStr">
        <is>
          <t>Implementation</t>
        </is>
      </c>
      <c r="L42" s="15" t="n"/>
      <c r="M42" s="15" t="n"/>
      <c r="N42" s="15" t="n"/>
      <c r="O42" s="15" t="n"/>
    </row>
    <row r="43" ht="15.75" customHeight="1" s="27">
      <c r="A43" s="12" t="inlineStr">
        <is>
          <t>DO-4.3</t>
        </is>
      </c>
      <c r="B43" s="12" t="inlineStr">
        <is>
          <t>Prod environment build</t>
        </is>
      </c>
      <c r="C43" s="15" t="n">
        <v>24</v>
      </c>
      <c r="D43" s="15" t="n">
        <v>32</v>
      </c>
      <c r="E43" s="15" t="n">
        <v>48</v>
      </c>
      <c r="F43" s="16">
        <f>IF(AND(C43&lt;&gt;"",D43&lt;&gt;"",E43&lt;&gt;""),(C43+4*D43+E43)/6,0)</f>
        <v/>
      </c>
      <c r="G43" s="15" t="inlineStr">
        <is>
          <t>Yes</t>
        </is>
      </c>
      <c r="H43" s="16">
        <f>IF(G43="Yes",ROUND(D43*$B$7,1),0)</f>
        <v/>
      </c>
      <c r="I43" s="16">
        <f>F43+H43</f>
        <v/>
      </c>
      <c r="J43" s="15" t="inlineStr">
        <is>
          <t>Included</t>
        </is>
      </c>
      <c r="K43" s="15" t="inlineStr">
        <is>
          <t>Implementation</t>
        </is>
      </c>
      <c r="L43" s="15" t="n"/>
      <c r="M43" s="15" t="n"/>
      <c r="N43" s="15" t="n"/>
      <c r="O43" s="15" t="n"/>
    </row>
    <row r="44" ht="15.75" customHeight="1" s="27">
      <c r="A44" s="21" t="inlineStr">
        <is>
          <t>DO-5</t>
        </is>
      </c>
      <c r="B44" s="21" t="inlineStr">
        <is>
          <t>SSDLC pipelines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</row>
    <row r="45" ht="15.75" customHeight="1" s="27">
      <c r="A45" s="12" t="inlineStr">
        <is>
          <t>DO-5.1</t>
        </is>
      </c>
      <c r="B45" s="12" t="inlineStr">
        <is>
          <t>iOS pipeline</t>
        </is>
      </c>
      <c r="C45" s="15" t="n">
        <v>8</v>
      </c>
      <c r="D45" s="15" t="n">
        <v>11</v>
      </c>
      <c r="E45" s="15" t="n">
        <v>8</v>
      </c>
      <c r="F45" s="16">
        <f>IF(AND(C45&lt;&gt;"",D45&lt;&gt;"",E45&lt;&gt;""),(C45+4*D45+E45)/6,0)</f>
        <v/>
      </c>
      <c r="G45" s="15" t="inlineStr">
        <is>
          <t>Yes</t>
        </is>
      </c>
      <c r="H45" s="16">
        <f>IF(G45="Yes",ROUND(D45*$B$7,1),0)</f>
        <v/>
      </c>
      <c r="I45" s="16">
        <f>F45+H45</f>
        <v/>
      </c>
      <c r="J45" s="15" t="inlineStr">
        <is>
          <t>Included</t>
        </is>
      </c>
      <c r="K45" s="15" t="inlineStr">
        <is>
          <t>Implementation</t>
        </is>
      </c>
      <c r="L45" s="15" t="n"/>
      <c r="M45" s="15" t="n"/>
      <c r="N45" s="15" t="n"/>
      <c r="O45" s="15" t="n"/>
    </row>
    <row r="46" ht="15.75" customHeight="1" s="27">
      <c r="A46" s="12" t="inlineStr">
        <is>
          <t>DO-5.2</t>
        </is>
      </c>
      <c r="B46" s="12" t="inlineStr">
        <is>
          <t>Android pipeline</t>
        </is>
      </c>
      <c r="C46" s="15" t="n">
        <v>8</v>
      </c>
      <c r="D46" s="15" t="n">
        <v>8</v>
      </c>
      <c r="E46" s="15" t="n">
        <v>8</v>
      </c>
      <c r="F46" s="16">
        <f>IF(AND(C46&lt;&gt;"",D46&lt;&gt;"",E46&lt;&gt;""),(C46+4*D46+E46)/6,0)</f>
        <v/>
      </c>
      <c r="G46" s="15" t="inlineStr">
        <is>
          <t>No</t>
        </is>
      </c>
      <c r="H46" s="16">
        <f>IF(G46="Yes",ROUND(D46*$B$7,1),0)</f>
        <v/>
      </c>
      <c r="I46" s="16">
        <f>F46+H46</f>
        <v/>
      </c>
      <c r="J46" s="15" t="inlineStr">
        <is>
          <t>Included</t>
        </is>
      </c>
      <c r="K46" s="15" t="inlineStr">
        <is>
          <t>Implementation</t>
        </is>
      </c>
      <c r="L46" s="15" t="n"/>
      <c r="M46" s="15" t="n"/>
      <c r="N46" s="15" t="n"/>
      <c r="O46" s="15" t="n"/>
    </row>
    <row r="47" ht="15.75" customHeight="1" s="27">
      <c r="A47" s="12" t="inlineStr">
        <is>
          <t>DO-5.3</t>
        </is>
      </c>
      <c r="B47" s="12" t="inlineStr">
        <is>
          <t>FE web pipeline</t>
        </is>
      </c>
      <c r="C47" s="15" t="n">
        <v>6</v>
      </c>
      <c r="D47" s="15" t="n">
        <v>6</v>
      </c>
      <c r="E47" s="15" t="n">
        <v>8</v>
      </c>
      <c r="F47" s="16">
        <f>IF(AND(C47&lt;&gt;"",D47&lt;&gt;"",E47&lt;&gt;""),(C47+4*D47+E47)/6,0)</f>
        <v/>
      </c>
      <c r="G47" s="15" t="inlineStr">
        <is>
          <t>No</t>
        </is>
      </c>
      <c r="H47" s="16">
        <f>IF(G47="Yes",ROUND(D47*$B$7,1),0)</f>
        <v/>
      </c>
      <c r="I47" s="16">
        <f>F47+H47</f>
        <v/>
      </c>
      <c r="J47" s="15" t="inlineStr">
        <is>
          <t>Included</t>
        </is>
      </c>
      <c r="K47" s="15" t="inlineStr">
        <is>
          <t>Implementation</t>
        </is>
      </c>
      <c r="L47" s="15" t="n"/>
      <c r="M47" s="15" t="n"/>
      <c r="N47" s="15" t="n"/>
      <c r="O47" s="15" t="n"/>
    </row>
    <row r="48" ht="15.75" customHeight="1" s="27">
      <c r="A48" s="12" t="inlineStr">
        <is>
          <t>DO-5.4</t>
        </is>
      </c>
      <c r="B48" s="12" t="inlineStr">
        <is>
          <t>BE pipelines</t>
        </is>
      </c>
      <c r="C48" s="15" t="n">
        <v>8</v>
      </c>
      <c r="D48" s="15" t="n">
        <v>11</v>
      </c>
      <c r="E48" s="15" t="n">
        <v>11</v>
      </c>
      <c r="F48" s="16">
        <f>IF(AND(C48&lt;&gt;"",D48&lt;&gt;"",E48&lt;&gt;""),(C48+4*D48+E48)/6,0)</f>
        <v/>
      </c>
      <c r="G48" s="15" t="inlineStr">
        <is>
          <t>No</t>
        </is>
      </c>
      <c r="H48" s="16">
        <f>IF(G48="Yes",ROUND(D48*$B$7,1),0)</f>
        <v/>
      </c>
      <c r="I48" s="16">
        <f>F48+H48</f>
        <v/>
      </c>
      <c r="J48" s="15" t="inlineStr">
        <is>
          <t>Included</t>
        </is>
      </c>
      <c r="K48" s="15" t="inlineStr">
        <is>
          <t>Implementation</t>
        </is>
      </c>
      <c r="L48" s="15" t="n"/>
      <c r="M48" s="15" t="n"/>
      <c r="N48" s="15" t="n"/>
      <c r="O48" s="15" t="n"/>
    </row>
    <row r="49" ht="15.75" customHeight="1" s="27">
      <c r="A49" s="12" t="inlineStr">
        <is>
          <t>DO-5.5</t>
        </is>
      </c>
      <c r="B49" s="12" t="inlineStr">
        <is>
          <t>SAST scanning</t>
        </is>
      </c>
      <c r="C49" s="15" t="n">
        <v>8</v>
      </c>
      <c r="D49" s="15" t="n">
        <v>11</v>
      </c>
      <c r="E49" s="15" t="n">
        <v>11</v>
      </c>
      <c r="F49" s="16">
        <f>IF(AND(C49&lt;&gt;"",D49&lt;&gt;"",E49&lt;&gt;""),(C49+4*D49+E49)/6,0)</f>
        <v/>
      </c>
      <c r="G49" s="15" t="inlineStr">
        <is>
          <t>Yes</t>
        </is>
      </c>
      <c r="H49" s="16">
        <f>IF(G49="Yes",ROUND(D49*$B$7,1),0)</f>
        <v/>
      </c>
      <c r="I49" s="16">
        <f>F49+H49</f>
        <v/>
      </c>
      <c r="J49" s="15" t="inlineStr">
        <is>
          <t>Included</t>
        </is>
      </c>
      <c r="K49" s="15" t="inlineStr">
        <is>
          <t>Implementation</t>
        </is>
      </c>
      <c r="L49" s="15" t="n"/>
      <c r="M49" s="15" t="n"/>
      <c r="N49" s="15" t="n"/>
      <c r="O49" s="15" t="n"/>
    </row>
    <row r="50" ht="15.75" customHeight="1" s="27">
      <c r="A50" s="12" t="inlineStr">
        <is>
          <t>DO-5.6</t>
        </is>
      </c>
      <c r="B50" s="12" t="inlineStr">
        <is>
          <t>Docker image hardening rules</t>
        </is>
      </c>
      <c r="C50" s="15" t="n">
        <v>6</v>
      </c>
      <c r="D50" s="15" t="n">
        <v>6</v>
      </c>
      <c r="E50" s="15" t="n">
        <v>6</v>
      </c>
      <c r="F50" s="16">
        <f>IF(AND(C50&lt;&gt;"",D50&lt;&gt;"",E50&lt;&gt;""),(C50+4*D50+E50)/6,0)</f>
        <v/>
      </c>
      <c r="G50" s="15" t="inlineStr">
        <is>
          <t>Yes</t>
        </is>
      </c>
      <c r="H50" s="16">
        <f>IF(G50="Yes",ROUND(D50*$B$7,1),0)</f>
        <v/>
      </c>
      <c r="I50" s="16">
        <f>F50+H50</f>
        <v/>
      </c>
      <c r="J50" s="15" t="inlineStr">
        <is>
          <t>Included</t>
        </is>
      </c>
      <c r="K50" s="15" t="inlineStr">
        <is>
          <t>Implementation</t>
        </is>
      </c>
      <c r="L50" s="15" t="n"/>
      <c r="M50" s="15" t="n"/>
      <c r="N50" s="15" t="n"/>
      <c r="O50" s="15" t="n"/>
    </row>
    <row r="51" ht="15.75" customHeight="1" s="27">
      <c r="A51" s="21" t="inlineStr">
        <is>
          <t>DO-6</t>
        </is>
      </c>
      <c r="B51" s="21" t="inlineStr">
        <is>
          <t>Operations &amp; monitoring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</row>
    <row r="52" ht="15.75" customHeight="1" s="27">
      <c r="A52" s="12" t="inlineStr">
        <is>
          <t>DO-6.1</t>
        </is>
      </c>
      <c r="B52" s="12" t="inlineStr">
        <is>
          <t>Monitoring (metrics/logs/alerts)</t>
        </is>
      </c>
      <c r="C52" s="15" t="n">
        <v>16</v>
      </c>
      <c r="D52" s="15" t="n">
        <v>24</v>
      </c>
      <c r="E52" s="15" t="n">
        <v>32</v>
      </c>
      <c r="F52" s="16">
        <f>IF(AND(C52&lt;&gt;"",D52&lt;&gt;"",E52&lt;&gt;""),(C52+4*D52+E52)/6,0)</f>
        <v/>
      </c>
      <c r="G52" s="15" t="inlineStr">
        <is>
          <t>Yes</t>
        </is>
      </c>
      <c r="H52" s="16">
        <f>IF(G52="Yes",ROUND(D52*$B$7,1),0)</f>
        <v/>
      </c>
      <c r="I52" s="16">
        <f>F52+H52</f>
        <v/>
      </c>
      <c r="J52" s="15" t="inlineStr">
        <is>
          <t>Included</t>
        </is>
      </c>
      <c r="K52" s="15" t="inlineStr">
        <is>
          <t>Implementation</t>
        </is>
      </c>
      <c r="L52" s="15" t="n"/>
      <c r="M52" s="15" t="n"/>
      <c r="N52" s="15" t="n"/>
      <c r="O52" s="15" t="n"/>
    </row>
    <row r="53" ht="15.75" customHeight="1" s="27">
      <c r="A53" s="12" t="inlineStr">
        <is>
          <t>DO-6.2</t>
        </is>
      </c>
      <c r="B53" s="12" t="inlineStr">
        <is>
          <t>Backup &amp; DR drills</t>
        </is>
      </c>
      <c r="C53" s="15" t="n">
        <v>8</v>
      </c>
      <c r="D53" s="15" t="n">
        <v>12</v>
      </c>
      <c r="E53" s="15" t="n">
        <v>16</v>
      </c>
      <c r="F53" s="16">
        <f>IF(AND(C53&lt;&gt;"",D53&lt;&gt;"",E53&lt;&gt;""),(C53+4*D53+E53)/6,0)</f>
        <v/>
      </c>
      <c r="G53" s="15" t="inlineStr">
        <is>
          <t>Yes</t>
        </is>
      </c>
      <c r="H53" s="16">
        <f>IF(G53="Yes",ROUND(D53*$B$7,1),0)</f>
        <v/>
      </c>
      <c r="I53" s="16">
        <f>F53+H53</f>
        <v/>
      </c>
      <c r="J53" s="15" t="inlineStr">
        <is>
          <t>Included</t>
        </is>
      </c>
      <c r="K53" s="15" t="inlineStr">
        <is>
          <t>Implementation</t>
        </is>
      </c>
      <c r="L53" s="15" t="n"/>
      <c r="M53" s="15" t="n"/>
      <c r="N53" s="15" t="n"/>
      <c r="O53" s="15" t="n"/>
    </row>
    <row r="54" ht="15.75" customHeight="1" s="27">
      <c r="A54" s="12" t="inlineStr">
        <is>
          <t>DO-6.3</t>
        </is>
      </c>
      <c r="B54" s="12" t="inlineStr">
        <is>
          <t>On-call runbook &amp; paging</t>
        </is>
      </c>
      <c r="C54" s="15" t="n">
        <v>4</v>
      </c>
      <c r="D54" s="15" t="n">
        <v>8</v>
      </c>
      <c r="E54" s="15" t="n">
        <v>12</v>
      </c>
      <c r="F54" s="16">
        <f>IF(AND(C54&lt;&gt;"",D54&lt;&gt;"",E54&lt;&gt;""),(C54+4*D54+E54)/6,0)</f>
        <v/>
      </c>
      <c r="G54" s="15" t="inlineStr">
        <is>
          <t>No</t>
        </is>
      </c>
      <c r="H54" s="16">
        <f>IF(G54="Yes",ROUND(D54*$B$7,1),0)</f>
        <v/>
      </c>
      <c r="I54" s="16">
        <f>F54+H54</f>
        <v/>
      </c>
      <c r="J54" s="15" t="inlineStr">
        <is>
          <t>Included</t>
        </is>
      </c>
      <c r="K54" s="15" t="inlineStr">
        <is>
          <t>Implementation</t>
        </is>
      </c>
      <c r="L54" s="15" t="n"/>
      <c r="M54" s="15" t="n"/>
      <c r="N54" s="15" t="n"/>
      <c r="O54" s="15" t="n"/>
    </row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54" showDropDown="0" showInputMessage="0" showErrorMessage="0" allowBlank="1" type="list">
      <formula1>"Discovery,Implementation,Post-MVP Enhancement,Maintenance"</formula1>
    </dataValidation>
    <dataValidation sqref="J12:J54" showDropDown="0" showInputMessage="0" showErrorMessage="0" allowBlank="1" type="list">
      <formula1>"Included,Not included,Post-MVP,Select"</formula1>
    </dataValidation>
    <dataValidation sqref="G12:G54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Project Management Estimation</t>
        </is>
      </c>
    </row>
    <row r="2" ht="48" customHeight="1" s="27">
      <c r="A2" s="7" t="inlineStr">
        <is>
          <t>Purpose:</t>
        </is>
      </c>
      <c r="B2" s="28" t="inlineStr">
        <is>
          <t>PM activity catalogue — Discovery prestart, governance (RACI / DoR / DoD / Communication &amp; Escalation matrices), project charter, sprint cadence, reporting, change management, closure. Replaces v1.4's flat 0.25 FTE PM allocation.</t>
        </is>
      </c>
    </row>
    <row r="3" ht="48" customHeight="1" s="27">
      <c r="A3" s="7" t="inlineStr">
        <is>
          <t>How to use:</t>
        </is>
      </c>
      <c r="B3" s="28" t="inlineStr">
        <is>
          <t>(1) Routine items can be estimated with Most Likely only — leave O and P blank. (2) For impactful items (estimation oversight, staffing, change requests) provide all three points. (3) Recurring implementation items (PM-4.x) are PER SPRINT — multiply Most Likely by the number of sprints when copying into your project plan. (4) Apply Contingency = Yes on coordination-heavy items.</t>
        </is>
      </c>
    </row>
    <row r="4" ht="30" customHeight="1" s="27">
      <c r="A4" s="7" t="inlineStr">
        <is>
          <t>Inputs:</t>
        </is>
      </c>
      <c r="B4" s="28" t="inlineStr">
        <is>
          <t>ML always; O/P optional; Apply Contingency Y/N; Include; Phase.</t>
        </is>
      </c>
    </row>
    <row r="5" ht="30" customHeight="1" s="27">
      <c r="A5" s="7" t="inlineStr">
        <is>
          <t>Outputs:</t>
        </is>
      </c>
      <c r="B5" s="28" t="inlineStr">
        <is>
          <t>PM roll-up flows to Buffers and Headcount and Cost.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(PM roll-up). Headcount and Cost.</t>
        </is>
      </c>
    </row>
    <row r="7">
      <c r="A7" s="14" t="inlineStr">
        <is>
          <t>Default contingency:</t>
        </is>
      </c>
      <c r="B7" s="23" t="n">
        <v>0.2</v>
      </c>
      <c r="C7" s="12" t="inlineStr">
        <is>
          <t>(used when Apply Contingency = Yes; multiplied by Most Likely)</t>
        </is>
      </c>
    </row>
    <row r="8">
      <c r="A8" s="5" t="inlineStr">
        <is>
          <t>PM activity catalogue replaces the flat 0.25 FTE assumption. Use Pessimistic and Optimistic on impactful items; Most Likely is fine for routine items.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SUM(C12:C49)</f>
        <v/>
      </c>
      <c r="D11" s="16">
        <f>SUM(D12:D49)</f>
        <v/>
      </c>
      <c r="E11" s="16">
        <f>SUM(E12:E49)</f>
        <v/>
      </c>
      <c r="F11" s="12">
        <f>SUM(F12:F49)</f>
        <v/>
      </c>
      <c r="H11" s="12">
        <f>SUM(H12:H49)</f>
        <v/>
      </c>
      <c r="I11" s="12">
        <f>SUMIF(J12:J49,"Included",I12:I49)</f>
        <v/>
      </c>
      <c r="J11" s="12" t="inlineStr">
        <is>
          <t>(only Included counted at right)</t>
        </is>
      </c>
    </row>
    <row r="12">
      <c r="A12" s="21" t="inlineStr">
        <is>
          <t>PM-1</t>
        </is>
      </c>
      <c r="B12" s="21" t="inlineStr">
        <is>
          <t>Discovery prestart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PM-1.1</t>
        </is>
      </c>
      <c r="B13" s="12" t="inlineStr">
        <is>
          <t>Compile input data list</t>
        </is>
      </c>
      <c r="C13" s="15" t="n"/>
      <c r="D13" s="15" t="n">
        <v>4</v>
      </c>
      <c r="E13" s="15" t="n"/>
      <c r="F13" s="16">
        <f>IF(AND(C13&lt;&gt;"",D13&lt;&gt;"",E13&lt;&gt;""),(C13+4*D13+E13)/6,0)</f>
        <v/>
      </c>
      <c r="G13" s="15" t="inlineStr">
        <is>
          <t>Yes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n"/>
      <c r="M13" s="15" t="n"/>
      <c r="N13" s="15" t="n"/>
      <c r="O13" s="15" t="n"/>
    </row>
    <row r="14">
      <c r="A14" s="12" t="inlineStr">
        <is>
          <t>PM-1.2</t>
        </is>
      </c>
      <c r="B14" s="12" t="inlineStr">
        <is>
          <t>Agree final budget / parameters</t>
        </is>
      </c>
      <c r="C14" s="15" t="n"/>
      <c r="D14" s="15" t="n">
        <v>8</v>
      </c>
      <c r="E14" s="15" t="n"/>
      <c r="F14" s="16">
        <f>IF(AND(C14&lt;&gt;"",D14&lt;&gt;"",E14&lt;&gt;""),(C14+4*D14+E14)/6,0)</f>
        <v/>
      </c>
      <c r="G14" s="15" t="inlineStr">
        <is>
          <t>Yes</t>
        </is>
      </c>
      <c r="H14" s="16">
        <f>IF(G14="Yes",ROUND(D14*$B$7,1),0)</f>
        <v/>
      </c>
      <c r="I14" s="16">
        <f>F14+H14</f>
        <v/>
      </c>
      <c r="J14" s="15" t="inlineStr">
        <is>
          <t>Included</t>
        </is>
      </c>
      <c r="K14" s="15" t="inlineStr">
        <is>
          <t>Discovery</t>
        </is>
      </c>
      <c r="L14" s="15" t="n"/>
      <c r="M14" s="15" t="n"/>
      <c r="N14" s="15" t="n"/>
      <c r="O14" s="15" t="n"/>
    </row>
    <row r="15">
      <c r="A15" s="12" t="inlineStr">
        <is>
          <t>PM-1.3</t>
        </is>
      </c>
      <c r="B15" s="12" t="inlineStr">
        <is>
          <t>Demands creation</t>
        </is>
      </c>
      <c r="C15" s="15" t="n"/>
      <c r="D15" s="15" t="n">
        <v>3</v>
      </c>
      <c r="E15" s="15" t="n"/>
      <c r="F15" s="16">
        <f>IF(AND(C15&lt;&gt;"",D15&lt;&gt;"",E15&lt;&gt;""),(C15+4*D15+E15)/6,0)</f>
        <v/>
      </c>
      <c r="G15" s="15" t="inlineStr">
        <is>
          <t>Yes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n"/>
      <c r="M15" s="15" t="n"/>
      <c r="N15" s="15" t="n"/>
      <c r="O15" s="15" t="n"/>
    </row>
    <row r="16">
      <c r="A16" s="12" t="inlineStr">
        <is>
          <t>PM-1.4</t>
        </is>
      </c>
      <c r="B16" s="12" t="inlineStr">
        <is>
          <t>Staffing support</t>
        </is>
      </c>
      <c r="C16" s="15" t="n"/>
      <c r="D16" s="15" t="n">
        <v>24</v>
      </c>
      <c r="E16" s="15" t="n"/>
      <c r="F16" s="16">
        <f>IF(AND(C16&lt;&gt;"",D16&lt;&gt;"",E16&lt;&gt;""),(C16+4*D16+E16)/6,0)</f>
        <v/>
      </c>
      <c r="G16" s="15" t="inlineStr">
        <is>
          <t>Yes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Discovery</t>
        </is>
      </c>
      <c r="L16" s="15" t="n"/>
      <c r="M16" s="15" t="n"/>
      <c r="N16" s="15" t="n"/>
      <c r="O16" s="15" t="n"/>
    </row>
    <row r="17">
      <c r="A17" s="12" t="inlineStr">
        <is>
          <t>PM-1.5</t>
        </is>
      </c>
      <c r="B17" s="12" t="inlineStr">
        <is>
          <t>Internal kickoff meeting</t>
        </is>
      </c>
      <c r="C17" s="15" t="n"/>
      <c r="D17" s="15" t="n">
        <v>3</v>
      </c>
      <c r="E17" s="15" t="n"/>
      <c r="F17" s="16">
        <f>IF(AND(C17&lt;&gt;"",D17&lt;&gt;"",E17&lt;&gt;""),(C17+4*D17+E17)/6,0)</f>
        <v/>
      </c>
      <c r="G17" s="15" t="inlineStr">
        <is>
          <t>Yes</t>
        </is>
      </c>
      <c r="H17" s="16">
        <f>IF(G17="Yes",ROUND(D17*$B$7,1),0)</f>
        <v/>
      </c>
      <c r="I17" s="16">
        <f>F17+H17</f>
        <v/>
      </c>
      <c r="J17" s="15" t="inlineStr">
        <is>
          <t>Included</t>
        </is>
      </c>
      <c r="K17" s="15" t="inlineStr">
        <is>
          <t>Discovery</t>
        </is>
      </c>
      <c r="L17" s="15" t="n"/>
      <c r="M17" s="15" t="n"/>
      <c r="N17" s="15" t="n"/>
      <c r="O17" s="15" t="n"/>
    </row>
    <row r="18">
      <c r="A18" s="12" t="inlineStr">
        <is>
          <t>PM-1.6</t>
        </is>
      </c>
      <c r="B18" s="12" t="inlineStr">
        <is>
          <t>1C / org system entries</t>
        </is>
      </c>
      <c r="C18" s="15" t="n"/>
      <c r="D18" s="15" t="n">
        <v>3</v>
      </c>
      <c r="E18" s="15" t="n"/>
      <c r="F18" s="16">
        <f>IF(AND(C18&lt;&gt;"",D18&lt;&gt;"",E18&lt;&gt;""),(C18+4*D18+E18)/6,0)</f>
        <v/>
      </c>
      <c r="G18" s="15" t="inlineStr">
        <is>
          <t>Yes</t>
        </is>
      </c>
      <c r="H18" s="16">
        <f>IF(G18="Yes",ROUND(D18*$B$7,1),0)</f>
        <v/>
      </c>
      <c r="I18" s="16">
        <f>F18+H18</f>
        <v/>
      </c>
      <c r="J18" s="15" t="inlineStr">
        <is>
          <t>Included</t>
        </is>
      </c>
      <c r="K18" s="15" t="inlineStr">
        <is>
          <t>Discovery</t>
        </is>
      </c>
      <c r="L18" s="15" t="n"/>
      <c r="M18" s="15" t="n"/>
      <c r="N18" s="15" t="n"/>
      <c r="O18" s="15" t="n"/>
    </row>
    <row r="19">
      <c r="A19" s="12" t="inlineStr">
        <is>
          <t>PM-1.7</t>
        </is>
      </c>
      <c r="B19" s="12" t="inlineStr">
        <is>
          <t>Jira space creation</t>
        </is>
      </c>
      <c r="C19" s="15" t="n"/>
      <c r="D19" s="15" t="n">
        <v>3</v>
      </c>
      <c r="E19" s="15" t="n"/>
      <c r="F19" s="16">
        <f>IF(AND(C19&lt;&gt;"",D19&lt;&gt;"",E19&lt;&gt;""),(C19+4*D19+E19)/6,0)</f>
        <v/>
      </c>
      <c r="G19" s="15" t="inlineStr">
        <is>
          <t>Yes</t>
        </is>
      </c>
      <c r="H19" s="16">
        <f>IF(G19="Yes",ROUND(D19*$B$7,1),0)</f>
        <v/>
      </c>
      <c r="I19" s="16">
        <f>F19+H19</f>
        <v/>
      </c>
      <c r="J19" s="15" t="inlineStr">
        <is>
          <t>Included</t>
        </is>
      </c>
      <c r="K19" s="15" t="inlineStr">
        <is>
          <t>Discovery</t>
        </is>
      </c>
      <c r="L19" s="15" t="n"/>
      <c r="M19" s="15" t="n"/>
      <c r="N19" s="15" t="n"/>
      <c r="O19" s="15" t="n"/>
    </row>
    <row r="20">
      <c r="A20" s="12" t="inlineStr">
        <is>
          <t>PM-1.8</t>
        </is>
      </c>
      <c r="B20" s="12" t="inlineStr">
        <is>
          <t>Confluence space creation</t>
        </is>
      </c>
      <c r="C20" s="15" t="n"/>
      <c r="D20" s="15" t="n">
        <v>4</v>
      </c>
      <c r="E20" s="15" t="n"/>
      <c r="F20" s="16">
        <f>IF(AND(C20&lt;&gt;"",D20&lt;&gt;"",E20&lt;&gt;""),(C20+4*D20+E20)/6,0)</f>
        <v/>
      </c>
      <c r="G20" s="15" t="inlineStr">
        <is>
          <t>Yes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Discovery</t>
        </is>
      </c>
      <c r="L20" s="15" t="n"/>
      <c r="M20" s="15" t="n"/>
      <c r="N20" s="15" t="n"/>
      <c r="O20" s="15" t="n"/>
    </row>
    <row r="21" ht="15.75" customHeight="1" s="27">
      <c r="A21" s="12" t="inlineStr">
        <is>
          <t>PM-1.9</t>
        </is>
      </c>
      <c r="B21" s="12" t="inlineStr">
        <is>
          <t>Team chat creation</t>
        </is>
      </c>
      <c r="C21" s="15" t="n"/>
      <c r="D21" s="15" t="n">
        <v>1</v>
      </c>
      <c r="E21" s="15" t="n"/>
      <c r="F21" s="16">
        <f>IF(AND(C21&lt;&gt;"",D21&lt;&gt;"",E21&lt;&gt;""),(C21+4*D21+E21)/6,0)</f>
        <v/>
      </c>
      <c r="G21" s="15" t="inlineStr">
        <is>
          <t>Yes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Discovery</t>
        </is>
      </c>
      <c r="L21" s="15" t="n"/>
      <c r="M21" s="15" t="n"/>
      <c r="N21" s="15" t="n"/>
      <c r="O21" s="15" t="n"/>
    </row>
    <row r="22" ht="15.75" customHeight="1" s="27">
      <c r="A22" s="12" t="inlineStr">
        <is>
          <t>PM-1.10</t>
        </is>
      </c>
      <c r="B22" s="12" t="inlineStr">
        <is>
          <t>Onboarding page (wiki)</t>
        </is>
      </c>
      <c r="C22" s="15" t="n"/>
      <c r="D22" s="15" t="n">
        <v>8</v>
      </c>
      <c r="E22" s="15" t="n"/>
      <c r="F22" s="16">
        <f>IF(AND(C22&lt;&gt;"",D22&lt;&gt;"",E22&lt;&gt;""),(C22+4*D22+E22)/6,0)</f>
        <v/>
      </c>
      <c r="G22" s="15" t="inlineStr">
        <is>
          <t>Yes</t>
        </is>
      </c>
      <c r="H22" s="16">
        <f>IF(G22="Yes",ROUND(D22*$B$7,1),0)</f>
        <v/>
      </c>
      <c r="I22" s="16">
        <f>F22+H22</f>
        <v/>
      </c>
      <c r="J22" s="15" t="inlineStr">
        <is>
          <t>Included</t>
        </is>
      </c>
      <c r="K22" s="15" t="inlineStr">
        <is>
          <t>Discovery</t>
        </is>
      </c>
      <c r="L22" s="15" t="n"/>
      <c r="M22" s="15" t="n"/>
      <c r="N22" s="15" t="n"/>
      <c r="O22" s="15" t="n"/>
    </row>
    <row r="23" ht="15.75" customHeight="1" s="27">
      <c r="A23" s="21" t="inlineStr">
        <is>
          <t>PM-2</t>
        </is>
      </c>
      <c r="B23" s="21" t="inlineStr">
        <is>
          <t>Discovery — governance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27">
      <c r="A24" s="12" t="inlineStr">
        <is>
          <t>PM-2.1</t>
        </is>
      </c>
      <c r="B24" s="12" t="inlineStr">
        <is>
          <t>RACI matrix</t>
        </is>
      </c>
      <c r="C24" s="15" t="n"/>
      <c r="D24" s="15" t="n">
        <v>2</v>
      </c>
      <c r="E24" s="15" t="n"/>
      <c r="F24" s="16">
        <f>IF(AND(C24&lt;&gt;"",D24&lt;&gt;"",E24&lt;&gt;""),(C24+4*D24+E24)/6,0)</f>
        <v/>
      </c>
      <c r="G24" s="15" t="inlineStr">
        <is>
          <t>Yes</t>
        </is>
      </c>
      <c r="H24" s="16">
        <f>IF(G24="Yes",ROUND(D24*$B$7,1),0)</f>
        <v/>
      </c>
      <c r="I24" s="16">
        <f>F24+H24</f>
        <v/>
      </c>
      <c r="J24" s="15" t="inlineStr">
        <is>
          <t>Included</t>
        </is>
      </c>
      <c r="K24" s="15" t="inlineStr">
        <is>
          <t>Discovery</t>
        </is>
      </c>
      <c r="L24" s="15" t="inlineStr">
        <is>
          <t>RACI</t>
        </is>
      </c>
      <c r="M24" s="15" t="n"/>
      <c r="N24" s="15" t="n"/>
      <c r="O24" s="15" t="n"/>
    </row>
    <row r="25" ht="15.75" customHeight="1" s="27">
      <c r="A25" s="12" t="inlineStr">
        <is>
          <t>PM-2.2</t>
        </is>
      </c>
      <c r="B25" s="12" t="inlineStr">
        <is>
          <t>Communication plan</t>
        </is>
      </c>
      <c r="C25" s="15" t="n"/>
      <c r="D25" s="15" t="n">
        <v>2</v>
      </c>
      <c r="E25" s="15" t="n"/>
      <c r="F25" s="16">
        <f>IF(AND(C25&lt;&gt;"",D25&lt;&gt;"",E25&lt;&gt;""),(C25+4*D25+E25)/6,0)</f>
        <v/>
      </c>
      <c r="G25" s="15" t="inlineStr">
        <is>
          <t>Yes</t>
        </is>
      </c>
      <c r="H25" s="16">
        <f>IF(G25="Yes",ROUND(D25*$B$7,1),0)</f>
        <v/>
      </c>
      <c r="I25" s="16">
        <f>F25+H25</f>
        <v/>
      </c>
      <c r="J25" s="15" t="inlineStr">
        <is>
          <t>Included</t>
        </is>
      </c>
      <c r="K25" s="15" t="inlineStr">
        <is>
          <t>Discovery</t>
        </is>
      </c>
      <c r="L25" s="15" t="n"/>
      <c r="M25" s="15" t="n"/>
      <c r="N25" s="15" t="n"/>
      <c r="O25" s="15" t="n"/>
    </row>
    <row r="26" ht="15.75" customHeight="1" s="27">
      <c r="A26" s="12" t="inlineStr">
        <is>
          <t>PM-2.3</t>
        </is>
      </c>
      <c r="B26" s="12" t="inlineStr">
        <is>
          <t>Communication matrix</t>
        </is>
      </c>
      <c r="C26" s="15" t="n"/>
      <c r="D26" s="15" t="n">
        <v>1</v>
      </c>
      <c r="E26" s="15" t="n"/>
      <c r="F26" s="16">
        <f>IF(AND(C26&lt;&gt;"",D26&lt;&gt;"",E26&lt;&gt;""),(C26+4*D26+E26)/6,0)</f>
        <v/>
      </c>
      <c r="G26" s="15" t="inlineStr">
        <is>
          <t>Yes</t>
        </is>
      </c>
      <c r="H26" s="16">
        <f>IF(G26="Yes",ROUND(D26*$B$7,1),0)</f>
        <v/>
      </c>
      <c r="I26" s="16">
        <f>F26+H26</f>
        <v/>
      </c>
      <c r="J26" s="15" t="inlineStr">
        <is>
          <t>Included</t>
        </is>
      </c>
      <c r="K26" s="15" t="inlineStr">
        <is>
          <t>Discovery</t>
        </is>
      </c>
      <c r="L26" s="15" t="n"/>
      <c r="M26" s="15" t="n"/>
      <c r="N26" s="15" t="n"/>
      <c r="O26" s="15" t="n"/>
    </row>
    <row r="27" ht="15.75" customHeight="1" s="27">
      <c r="A27" s="12" t="inlineStr">
        <is>
          <t>PM-2.4</t>
        </is>
      </c>
      <c r="B27" s="12" t="inlineStr">
        <is>
          <t>Escalation matrix</t>
        </is>
      </c>
      <c r="C27" s="15" t="n"/>
      <c r="D27" s="15" t="n">
        <v>1</v>
      </c>
      <c r="E27" s="15" t="n"/>
      <c r="F27" s="16">
        <f>IF(AND(C27&lt;&gt;"",D27&lt;&gt;"",E27&lt;&gt;""),(C27+4*D27+E27)/6,0)</f>
        <v/>
      </c>
      <c r="G27" s="15" t="inlineStr">
        <is>
          <t>Yes</t>
        </is>
      </c>
      <c r="H27" s="16">
        <f>IF(G27="Yes",ROUND(D27*$B$7,1),0)</f>
        <v/>
      </c>
      <c r="I27" s="16">
        <f>F27+H27</f>
        <v/>
      </c>
      <c r="J27" s="15" t="inlineStr">
        <is>
          <t>Included</t>
        </is>
      </c>
      <c r="K27" s="15" t="inlineStr">
        <is>
          <t>Discovery</t>
        </is>
      </c>
      <c r="L27" s="15" t="n"/>
      <c r="M27" s="15" t="n"/>
      <c r="N27" s="15" t="n"/>
      <c r="O27" s="15" t="n"/>
    </row>
    <row r="28" ht="15.75" customHeight="1" s="27">
      <c r="A28" s="12" t="inlineStr">
        <is>
          <t>PM-2.5</t>
        </is>
      </c>
      <c r="B28" s="12" t="inlineStr">
        <is>
          <t>DoR / DoD</t>
        </is>
      </c>
      <c r="C28" s="15" t="n"/>
      <c r="D28" s="15" t="n">
        <v>4</v>
      </c>
      <c r="E28" s="15" t="n"/>
      <c r="F28" s="16">
        <f>IF(AND(C28&lt;&gt;"",D28&lt;&gt;"",E28&lt;&gt;""),(C28+4*D28+E28)/6,0)</f>
        <v/>
      </c>
      <c r="G28" s="15" t="inlineStr">
        <is>
          <t>Yes</t>
        </is>
      </c>
      <c r="H28" s="16">
        <f>IF(G28="Yes",ROUND(D28*$B$7,1),0)</f>
        <v/>
      </c>
      <c r="I28" s="16">
        <f>F28+H28</f>
        <v/>
      </c>
      <c r="J28" s="15" t="inlineStr">
        <is>
          <t>Included</t>
        </is>
      </c>
      <c r="K28" s="15" t="inlineStr">
        <is>
          <t>Discovery</t>
        </is>
      </c>
      <c r="L28" s="15" t="n"/>
      <c r="M28" s="15" t="n"/>
      <c r="N28" s="15" t="n"/>
      <c r="O28" s="15" t="n"/>
    </row>
    <row r="29" ht="15.75" customHeight="1" s="27">
      <c r="A29" s="12" t="inlineStr">
        <is>
          <t>PM-2.6</t>
        </is>
      </c>
      <c r="B29" s="12" t="inlineStr">
        <is>
          <t>Discovery kickoff</t>
        </is>
      </c>
      <c r="C29" s="15" t="n"/>
      <c r="D29" s="15" t="n">
        <v>6</v>
      </c>
      <c r="E29" s="15" t="n"/>
      <c r="F29" s="16">
        <f>IF(AND(C29&lt;&gt;"",D29&lt;&gt;"",E29&lt;&gt;""),(C29+4*D29+E29)/6,0)</f>
        <v/>
      </c>
      <c r="G29" s="15" t="inlineStr">
        <is>
          <t>Yes</t>
        </is>
      </c>
      <c r="H29" s="16">
        <f>IF(G29="Yes",ROUND(D29*$B$7,1),0)</f>
        <v/>
      </c>
      <c r="I29" s="16">
        <f>F29+H29</f>
        <v/>
      </c>
      <c r="J29" s="15" t="inlineStr">
        <is>
          <t>Included</t>
        </is>
      </c>
      <c r="K29" s="15" t="inlineStr">
        <is>
          <t>Discovery</t>
        </is>
      </c>
      <c r="L29" s="15" t="n"/>
      <c r="M29" s="15" t="n"/>
      <c r="N29" s="15" t="n"/>
      <c r="O29" s="15" t="n"/>
    </row>
    <row r="30" ht="15.75" customHeight="1" s="27">
      <c r="A30" s="21" t="inlineStr">
        <is>
          <t>PM-3</t>
        </is>
      </c>
      <c r="B30" s="21" t="inlineStr">
        <is>
          <t>Discovery deliverables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75" customHeight="1" s="27">
      <c r="A31" s="12" t="inlineStr">
        <is>
          <t>PM-3.1</t>
        </is>
      </c>
      <c r="B31" s="12" t="inlineStr">
        <is>
          <t>Project Charter</t>
        </is>
      </c>
      <c r="C31" s="15" t="n"/>
      <c r="D31" s="15" t="n">
        <v>6</v>
      </c>
      <c r="E31" s="15" t="n"/>
      <c r="F31" s="16">
        <f>IF(AND(C31&lt;&gt;"",D31&lt;&gt;"",E31&lt;&gt;""),(C31+4*D31+E31)/6,0)</f>
        <v/>
      </c>
      <c r="G31" s="15" t="inlineStr">
        <is>
          <t>Yes</t>
        </is>
      </c>
      <c r="H31" s="16">
        <f>IF(G31="Yes",ROUND(D31*$B$7,1),0)</f>
        <v/>
      </c>
      <c r="I31" s="16">
        <f>F31+H31</f>
        <v/>
      </c>
      <c r="J31" s="15" t="inlineStr">
        <is>
          <t>Included</t>
        </is>
      </c>
      <c r="K31" s="15" t="inlineStr">
        <is>
          <t>Discovery</t>
        </is>
      </c>
      <c r="L31" s="15" t="n"/>
      <c r="M31" s="15" t="n"/>
      <c r="N31" s="15" t="n"/>
      <c r="O31" s="15" t="n"/>
    </row>
    <row r="32" ht="15.75" customHeight="1" s="27">
      <c r="A32" s="12" t="inlineStr">
        <is>
          <t>PM-3.2</t>
        </is>
      </c>
      <c r="B32" s="12" t="inlineStr">
        <is>
          <t>Daily comms with team</t>
        </is>
      </c>
      <c r="C32" s="15" t="n"/>
      <c r="D32" s="15" t="n">
        <v>3</v>
      </c>
      <c r="E32" s="15" t="n"/>
      <c r="F32" s="16">
        <f>IF(AND(C32&lt;&gt;"",D32&lt;&gt;"",E32&lt;&gt;""),(C32+4*D32+E32)/6,0)</f>
        <v/>
      </c>
      <c r="G32" s="15" t="inlineStr">
        <is>
          <t>Yes</t>
        </is>
      </c>
      <c r="H32" s="16">
        <f>IF(G32="Yes",ROUND(D32*$B$7,1),0)</f>
        <v/>
      </c>
      <c r="I32" s="16">
        <f>F32+H32</f>
        <v/>
      </c>
      <c r="J32" s="15" t="inlineStr">
        <is>
          <t>Included</t>
        </is>
      </c>
      <c r="K32" s="15" t="inlineStr">
        <is>
          <t>Discovery</t>
        </is>
      </c>
      <c r="L32" s="15" t="n"/>
      <c r="M32" s="15" t="n"/>
      <c r="N32" s="15" t="n"/>
      <c r="O32" s="15" t="n"/>
    </row>
    <row r="33" ht="15.75" customHeight="1" s="27">
      <c r="A33" s="12" t="inlineStr">
        <is>
          <t>PM-3.3</t>
        </is>
      </c>
      <c r="B33" s="12" t="inlineStr">
        <is>
          <t>Discovery metrics setup</t>
        </is>
      </c>
      <c r="C33" s="15" t="n"/>
      <c r="D33" s="15" t="n">
        <v>4</v>
      </c>
      <c r="E33" s="15" t="n"/>
      <c r="F33" s="16">
        <f>IF(AND(C33&lt;&gt;"",D33&lt;&gt;"",E33&lt;&gt;""),(C33+4*D33+E33)/6,0)</f>
        <v/>
      </c>
      <c r="G33" s="15" t="inlineStr">
        <is>
          <t>Yes</t>
        </is>
      </c>
      <c r="H33" s="16">
        <f>IF(G33="Yes",ROUND(D33*$B$7,1),0)</f>
        <v/>
      </c>
      <c r="I33" s="16">
        <f>F33+H33</f>
        <v/>
      </c>
      <c r="J33" s="15" t="inlineStr">
        <is>
          <t>Included</t>
        </is>
      </c>
      <c r="K33" s="15" t="inlineStr">
        <is>
          <t>Discovery</t>
        </is>
      </c>
      <c r="L33" s="15" t="n"/>
      <c r="M33" s="15" t="n"/>
      <c r="N33" s="15" t="n"/>
      <c r="O33" s="15" t="n"/>
    </row>
    <row r="34" ht="15.75" customHeight="1" s="27">
      <c r="A34" s="12" t="inlineStr">
        <is>
          <t>PM-3.4</t>
        </is>
      </c>
      <c r="B34" s="12" t="inlineStr">
        <is>
          <t>Vision &amp; Scope review/coordination</t>
        </is>
      </c>
      <c r="C34" s="15" t="n"/>
      <c r="D34" s="15" t="n">
        <v>10</v>
      </c>
      <c r="E34" s="15" t="n"/>
      <c r="F34" s="16">
        <f>IF(AND(C34&lt;&gt;"",D34&lt;&gt;"",E34&lt;&gt;""),(C34+4*D34+E34)/6,0)</f>
        <v/>
      </c>
      <c r="G34" s="15" t="inlineStr">
        <is>
          <t>Yes</t>
        </is>
      </c>
      <c r="H34" s="16">
        <f>IF(G34="Yes",ROUND(D34*$B$7,1),0)</f>
        <v/>
      </c>
      <c r="I34" s="16">
        <f>F34+H34</f>
        <v/>
      </c>
      <c r="J34" s="15" t="inlineStr">
        <is>
          <t>Included</t>
        </is>
      </c>
      <c r="K34" s="15" t="inlineStr">
        <is>
          <t>Discovery</t>
        </is>
      </c>
      <c r="L34" s="15" t="n"/>
      <c r="M34" s="15" t="n"/>
      <c r="N34" s="15" t="n"/>
      <c r="O34" s="15" t="n"/>
    </row>
    <row r="35" ht="15.75" customHeight="1" s="27">
      <c r="A35" s="12" t="inlineStr">
        <is>
          <t>PM-3.5</t>
        </is>
      </c>
      <c r="B35" s="12" t="inlineStr">
        <is>
          <t>Initial product backlog support</t>
        </is>
      </c>
      <c r="C35" s="15" t="n"/>
      <c r="D35" s="15" t="n">
        <v>8</v>
      </c>
      <c r="E35" s="15" t="n"/>
      <c r="F35" s="16">
        <f>IF(AND(C35&lt;&gt;"",D35&lt;&gt;"",E35&lt;&gt;""),(C35+4*D35+E35)/6,0)</f>
        <v/>
      </c>
      <c r="G35" s="15" t="inlineStr">
        <is>
          <t>Yes</t>
        </is>
      </c>
      <c r="H35" s="16">
        <f>IF(G35="Yes",ROUND(D35*$B$7,1),0)</f>
        <v/>
      </c>
      <c r="I35" s="16">
        <f>F35+H35</f>
        <v/>
      </c>
      <c r="J35" s="15" t="inlineStr">
        <is>
          <t>Included</t>
        </is>
      </c>
      <c r="K35" s="15" t="inlineStr">
        <is>
          <t>Discovery</t>
        </is>
      </c>
      <c r="L35" s="15" t="n"/>
      <c r="M35" s="15" t="n"/>
      <c r="N35" s="15" t="n"/>
      <c r="O35" s="15" t="n"/>
    </row>
    <row r="36" ht="15.75" customHeight="1" s="27">
      <c r="A36" s="12" t="inlineStr">
        <is>
          <t>PM-3.6</t>
        </is>
      </c>
      <c r="B36" s="12" t="inlineStr">
        <is>
          <t>Feature-based estimation oversight</t>
        </is>
      </c>
      <c r="C36" s="15" t="n"/>
      <c r="D36" s="15" t="n">
        <v>24</v>
      </c>
      <c r="E36" s="15" t="n"/>
      <c r="F36" s="16">
        <f>IF(AND(C36&lt;&gt;"",D36&lt;&gt;"",E36&lt;&gt;""),(C36+4*D36+E36)/6,0)</f>
        <v/>
      </c>
      <c r="G36" s="15" t="inlineStr">
        <is>
          <t>Yes</t>
        </is>
      </c>
      <c r="H36" s="16">
        <f>IF(G36="Yes",ROUND(D36*$B$7,1),0)</f>
        <v/>
      </c>
      <c r="I36" s="16">
        <f>F36+H36</f>
        <v/>
      </c>
      <c r="J36" s="15" t="inlineStr">
        <is>
          <t>Included</t>
        </is>
      </c>
      <c r="K36" s="15" t="inlineStr">
        <is>
          <t>Discovery</t>
        </is>
      </c>
      <c r="L36" s="15" t="n"/>
      <c r="M36" s="15" t="n"/>
      <c r="N36" s="15" t="n"/>
      <c r="O36" s="15" t="n"/>
    </row>
    <row r="37" ht="15.75" customHeight="1" s="27">
      <c r="A37" s="12" t="inlineStr">
        <is>
          <t>PM-3.7</t>
        </is>
      </c>
      <c r="B37" s="12" t="inlineStr">
        <is>
          <t>Initial budget estimation</t>
        </is>
      </c>
      <c r="C37" s="15" t="n"/>
      <c r="D37" s="15" t="n">
        <v>4</v>
      </c>
      <c r="E37" s="15" t="n"/>
      <c r="F37" s="16">
        <f>IF(AND(C37&lt;&gt;"",D37&lt;&gt;"",E37&lt;&gt;""),(C37+4*D37+E37)/6,0)</f>
        <v/>
      </c>
      <c r="G37" s="15" t="inlineStr">
        <is>
          <t>Yes</t>
        </is>
      </c>
      <c r="H37" s="16">
        <f>IF(G37="Yes",ROUND(D37*$B$7,1),0)</f>
        <v/>
      </c>
      <c r="I37" s="16">
        <f>F37+H37</f>
        <v/>
      </c>
      <c r="J37" s="15" t="inlineStr">
        <is>
          <t>Included</t>
        </is>
      </c>
      <c r="K37" s="15" t="inlineStr">
        <is>
          <t>Discovery</t>
        </is>
      </c>
      <c r="L37" s="15" t="n"/>
      <c r="M37" s="15" t="n"/>
      <c r="N37" s="15" t="n"/>
      <c r="O37" s="15" t="n"/>
    </row>
    <row r="38" ht="15.75" customHeight="1" s="27">
      <c r="A38" s="12" t="inlineStr">
        <is>
          <t>PM-3.8</t>
        </is>
      </c>
      <c r="B38" s="12" t="inlineStr">
        <is>
          <t>Initial dev phase plan</t>
        </is>
      </c>
      <c r="C38" s="15" t="n"/>
      <c r="D38" s="15" t="n">
        <v>4</v>
      </c>
      <c r="E38" s="15" t="n"/>
      <c r="F38" s="16">
        <f>IF(AND(C38&lt;&gt;"",D38&lt;&gt;"",E38&lt;&gt;""),(C38+4*D38+E38)/6,0)</f>
        <v/>
      </c>
      <c r="G38" s="15" t="inlineStr">
        <is>
          <t>Yes</t>
        </is>
      </c>
      <c r="H38" s="16">
        <f>IF(G38="Yes",ROUND(D38*$B$7,1),0)</f>
        <v/>
      </c>
      <c r="I38" s="16">
        <f>F38+H38</f>
        <v/>
      </c>
      <c r="J38" s="15" t="inlineStr">
        <is>
          <t>Included</t>
        </is>
      </c>
      <c r="K38" s="15" t="inlineStr">
        <is>
          <t>Discovery</t>
        </is>
      </c>
      <c r="L38" s="15" t="n"/>
      <c r="M38" s="15" t="n"/>
      <c r="N38" s="15" t="n"/>
      <c r="O38" s="15" t="n"/>
    </row>
    <row r="39" ht="15.75" customHeight="1" s="27">
      <c r="A39" s="12" t="inlineStr">
        <is>
          <t>PM-3.9</t>
        </is>
      </c>
      <c r="B39" s="12" t="inlineStr">
        <is>
          <t>Resource plan</t>
        </is>
      </c>
      <c r="C39" s="15" t="n"/>
      <c r="D39" s="15" t="n">
        <v>2</v>
      </c>
      <c r="E39" s="15" t="n"/>
      <c r="F39" s="16">
        <f>IF(AND(C39&lt;&gt;"",D39&lt;&gt;"",E39&lt;&gt;""),(C39+4*D39+E39)/6,0)</f>
        <v/>
      </c>
      <c r="G39" s="15" t="inlineStr">
        <is>
          <t>Yes</t>
        </is>
      </c>
      <c r="H39" s="16">
        <f>IF(G39="Yes",ROUND(D39*$B$7,1),0)</f>
        <v/>
      </c>
      <c r="I39" s="16">
        <f>F39+H39</f>
        <v/>
      </c>
      <c r="J39" s="15" t="inlineStr">
        <is>
          <t>Included</t>
        </is>
      </c>
      <c r="K39" s="15" t="inlineStr">
        <is>
          <t>Discovery</t>
        </is>
      </c>
      <c r="L39" s="15" t="n"/>
      <c r="M39" s="15" t="n"/>
      <c r="N39" s="15" t="n"/>
      <c r="O39" s="15" t="n"/>
    </row>
    <row r="40" ht="15.75" customHeight="1" s="27">
      <c r="A40" s="12" t="inlineStr">
        <is>
          <t>PM-3.10</t>
        </is>
      </c>
      <c r="B40" s="12" t="inlineStr">
        <is>
          <t>Initial risk matrix</t>
        </is>
      </c>
      <c r="C40" s="15" t="n"/>
      <c r="D40" s="15" t="n">
        <v>3</v>
      </c>
      <c r="E40" s="15" t="n"/>
      <c r="F40" s="16">
        <f>IF(AND(C40&lt;&gt;"",D40&lt;&gt;"",E40&lt;&gt;""),(C40+4*D40+E40)/6,0)</f>
        <v/>
      </c>
      <c r="G40" s="15" t="inlineStr">
        <is>
          <t>Yes</t>
        </is>
      </c>
      <c r="H40" s="16">
        <f>IF(G40="Yes",ROUND(D40*$B$7,1),0)</f>
        <v/>
      </c>
      <c r="I40" s="16">
        <f>F40+H40</f>
        <v/>
      </c>
      <c r="J40" s="15" t="inlineStr">
        <is>
          <t>Included</t>
        </is>
      </c>
      <c r="K40" s="15" t="inlineStr">
        <is>
          <t>Discovery</t>
        </is>
      </c>
      <c r="L40" s="15" t="n"/>
      <c r="M40" s="15" t="n"/>
      <c r="N40" s="15" t="n"/>
      <c r="O40" s="15" t="n"/>
    </row>
    <row r="41" ht="15.75" customHeight="1" s="27">
      <c r="A41" s="12" t="inlineStr">
        <is>
          <t>PM-3.11</t>
        </is>
      </c>
      <c r="B41" s="12" t="inlineStr">
        <is>
          <t>Internal demo / proposal review</t>
        </is>
      </c>
      <c r="C41" s="15" t="n"/>
      <c r="D41" s="15" t="n">
        <v>4</v>
      </c>
      <c r="E41" s="15" t="n"/>
      <c r="F41" s="16">
        <f>IF(AND(C41&lt;&gt;"",D41&lt;&gt;"",E41&lt;&gt;""),(C41+4*D41+E41)/6,0)</f>
        <v/>
      </c>
      <c r="G41" s="15" t="inlineStr">
        <is>
          <t>Yes</t>
        </is>
      </c>
      <c r="H41" s="16">
        <f>IF(G41="Yes",ROUND(D41*$B$7,1),0)</f>
        <v/>
      </c>
      <c r="I41" s="16">
        <f>F41+H41</f>
        <v/>
      </c>
      <c r="J41" s="15" t="inlineStr">
        <is>
          <t>Included</t>
        </is>
      </c>
      <c r="K41" s="15" t="inlineStr">
        <is>
          <t>Discovery</t>
        </is>
      </c>
      <c r="L41" s="15" t="n"/>
      <c r="M41" s="15" t="n"/>
      <c r="N41" s="15" t="n"/>
      <c r="O41" s="15" t="n"/>
    </row>
    <row r="42" ht="15.75" customHeight="1" s="27">
      <c r="A42" s="12" t="inlineStr">
        <is>
          <t>PM-3.12</t>
        </is>
      </c>
      <c r="B42" s="12" t="inlineStr">
        <is>
          <t>Update proposal for customer</t>
        </is>
      </c>
      <c r="C42" s="15" t="n"/>
      <c r="D42" s="15" t="n">
        <v>4</v>
      </c>
      <c r="E42" s="15" t="n"/>
      <c r="F42" s="16">
        <f>IF(AND(C42&lt;&gt;"",D42&lt;&gt;"",E42&lt;&gt;""),(C42+4*D42+E42)/6,0)</f>
        <v/>
      </c>
      <c r="G42" s="15" t="inlineStr">
        <is>
          <t>Yes</t>
        </is>
      </c>
      <c r="H42" s="16">
        <f>IF(G42="Yes",ROUND(D42*$B$7,1),0)</f>
        <v/>
      </c>
      <c r="I42" s="16">
        <f>F42+H42</f>
        <v/>
      </c>
      <c r="J42" s="15" t="inlineStr">
        <is>
          <t>Included</t>
        </is>
      </c>
      <c r="K42" s="15" t="inlineStr">
        <is>
          <t>Discovery</t>
        </is>
      </c>
      <c r="L42" s="15" t="n"/>
      <c r="M42" s="15" t="n"/>
      <c r="N42" s="15" t="n"/>
      <c r="O42" s="15" t="n"/>
    </row>
    <row r="43" ht="15.75" customHeight="1" s="27">
      <c r="A43" s="21" t="inlineStr">
        <is>
          <t>PM-4</t>
        </is>
      </c>
      <c r="B43" s="21" t="inlineStr">
        <is>
          <t>Implementation — recurring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27">
      <c r="A44" s="12" t="inlineStr">
        <is>
          <t>PM-4.1</t>
        </is>
      </c>
      <c r="B44" s="12" t="inlineStr">
        <is>
          <t>Sprint planning / refinement / retro</t>
        </is>
      </c>
      <c r="C44" s="15" t="n"/>
      <c r="D44" s="15" t="n">
        <v>8</v>
      </c>
      <c r="E44" s="15" t="n"/>
      <c r="F44" s="16">
        <f>IF(AND(C44&lt;&gt;"",D44&lt;&gt;"",E44&lt;&gt;""),(C44+4*D44+E44)/6,0)</f>
        <v/>
      </c>
      <c r="G44" s="15" t="inlineStr">
        <is>
          <t>No</t>
        </is>
      </c>
      <c r="H44" s="16">
        <f>IF(G44="Yes",ROUND(D44*$B$7,1),0)</f>
        <v/>
      </c>
      <c r="I44" s="16">
        <f>F44+H44</f>
        <v/>
      </c>
      <c r="J44" s="15" t="inlineStr">
        <is>
          <t>Included</t>
        </is>
      </c>
      <c r="K44" s="15" t="inlineStr">
        <is>
          <t>Implementation</t>
        </is>
      </c>
      <c r="L44" s="15" t="n"/>
      <c r="M44" s="15" t="inlineStr">
        <is>
          <t>Per sprint over implementation duration</t>
        </is>
      </c>
      <c r="N44" s="15" t="n"/>
      <c r="O44" s="15" t="n"/>
    </row>
    <row r="45" ht="15.75" customHeight="1" s="27">
      <c r="A45" s="12" t="inlineStr">
        <is>
          <t>PM-4.2</t>
        </is>
      </c>
      <c r="B45" s="12" t="inlineStr">
        <is>
          <t>Status reporting (weekly)</t>
        </is>
      </c>
      <c r="C45" s="15" t="n"/>
      <c r="D45" s="15" t="n">
        <v>4</v>
      </c>
      <c r="E45" s="15" t="n"/>
      <c r="F45" s="16">
        <f>IF(AND(C45&lt;&gt;"",D45&lt;&gt;"",E45&lt;&gt;""),(C45+4*D45+E45)/6,0)</f>
        <v/>
      </c>
      <c r="G45" s="15" t="inlineStr">
        <is>
          <t>No</t>
        </is>
      </c>
      <c r="H45" s="16">
        <f>IF(G45="Yes",ROUND(D45*$B$7,1),0)</f>
        <v/>
      </c>
      <c r="I45" s="16">
        <f>F45+H45</f>
        <v/>
      </c>
      <c r="J45" s="15" t="inlineStr">
        <is>
          <t>Included</t>
        </is>
      </c>
      <c r="K45" s="15" t="inlineStr">
        <is>
          <t>Implementation</t>
        </is>
      </c>
      <c r="L45" s="15" t="n"/>
      <c r="M45" s="15" t="n"/>
      <c r="N45" s="15" t="n"/>
      <c r="O45" s="15" t="n"/>
    </row>
    <row r="46" ht="15.75" customHeight="1" s="27">
      <c r="A46" s="12" t="inlineStr">
        <is>
          <t>PM-4.3</t>
        </is>
      </c>
      <c r="B46" s="12" t="inlineStr">
        <is>
          <t>Risk &amp; issue management</t>
        </is>
      </c>
      <c r="C46" s="15" t="n"/>
      <c r="D46" s="15" t="n">
        <v>4</v>
      </c>
      <c r="E46" s="15" t="n"/>
      <c r="F46" s="16">
        <f>IF(AND(C46&lt;&gt;"",D46&lt;&gt;"",E46&lt;&gt;""),(C46+4*D46+E46)/6,0)</f>
        <v/>
      </c>
      <c r="G46" s="15" t="inlineStr">
        <is>
          <t>Yes</t>
        </is>
      </c>
      <c r="H46" s="16">
        <f>IF(G46="Yes",ROUND(D46*$B$7,1),0)</f>
        <v/>
      </c>
      <c r="I46" s="16">
        <f>F46+H46</f>
        <v/>
      </c>
      <c r="J46" s="15" t="inlineStr">
        <is>
          <t>Included</t>
        </is>
      </c>
      <c r="K46" s="15" t="inlineStr">
        <is>
          <t>Implementation</t>
        </is>
      </c>
      <c r="L46" s="15" t="n"/>
      <c r="M46" s="15" t="n"/>
      <c r="N46" s="15" t="n"/>
      <c r="O46" s="15" t="n"/>
    </row>
    <row r="47" ht="15.75" customHeight="1" s="27">
      <c r="A47" s="12" t="inlineStr">
        <is>
          <t>PM-4.4</t>
        </is>
      </c>
      <c r="B47" s="12" t="inlineStr">
        <is>
          <t>Change request management</t>
        </is>
      </c>
      <c r="C47" s="15" t="n"/>
      <c r="D47" s="15" t="n">
        <v>4</v>
      </c>
      <c r="E47" s="15" t="n"/>
      <c r="F47" s="16">
        <f>IF(AND(C47&lt;&gt;"",D47&lt;&gt;"",E47&lt;&gt;""),(C47+4*D47+E47)/6,0)</f>
        <v/>
      </c>
      <c r="G47" s="15" t="inlineStr">
        <is>
          <t>Yes</t>
        </is>
      </c>
      <c r="H47" s="16">
        <f>IF(G47="Yes",ROUND(D47*$B$7,1),0)</f>
        <v/>
      </c>
      <c r="I47" s="16">
        <f>F47+H47</f>
        <v/>
      </c>
      <c r="J47" s="15" t="inlineStr">
        <is>
          <t>Included</t>
        </is>
      </c>
      <c r="K47" s="15" t="inlineStr">
        <is>
          <t>Implementation</t>
        </is>
      </c>
      <c r="L47" s="15" t="n"/>
      <c r="M47" s="15" t="n"/>
      <c r="N47" s="15" t="n"/>
      <c r="O47" s="15" t="n"/>
    </row>
    <row r="48" ht="15.75" customHeight="1" s="27">
      <c r="A48" s="12" t="inlineStr">
        <is>
          <t>PM-4.5</t>
        </is>
      </c>
      <c r="B48" s="12" t="inlineStr">
        <is>
          <t>Stakeholder demos / acceptance</t>
        </is>
      </c>
      <c r="C48" s="15" t="n"/>
      <c r="D48" s="15" t="n">
        <v>4</v>
      </c>
      <c r="E48" s="15" t="n"/>
      <c r="F48" s="16">
        <f>IF(AND(C48&lt;&gt;"",D48&lt;&gt;"",E48&lt;&gt;""),(C48+4*D48+E48)/6,0)</f>
        <v/>
      </c>
      <c r="G48" s="15" t="inlineStr">
        <is>
          <t>No</t>
        </is>
      </c>
      <c r="H48" s="16">
        <f>IF(G48="Yes",ROUND(D48*$B$7,1),0)</f>
        <v/>
      </c>
      <c r="I48" s="16">
        <f>F48+H48</f>
        <v/>
      </c>
      <c r="J48" s="15" t="inlineStr">
        <is>
          <t>Included</t>
        </is>
      </c>
      <c r="K48" s="15" t="inlineStr">
        <is>
          <t>Implementation</t>
        </is>
      </c>
      <c r="L48" s="15" t="n"/>
      <c r="M48" s="15" t="n"/>
      <c r="N48" s="15" t="n"/>
      <c r="O48" s="15" t="n"/>
    </row>
    <row r="49" ht="15.75" customHeight="1" s="27">
      <c r="A49" s="12" t="inlineStr">
        <is>
          <t>PM-4.6</t>
        </is>
      </c>
      <c r="B49" s="12" t="inlineStr">
        <is>
          <t>Project closure</t>
        </is>
      </c>
      <c r="C49" s="15" t="n"/>
      <c r="D49" s="15" t="n">
        <v>8</v>
      </c>
      <c r="E49" s="15" t="n"/>
      <c r="F49" s="16">
        <f>IF(AND(C49&lt;&gt;"",D49&lt;&gt;"",E49&lt;&gt;""),(C49+4*D49+E49)/6,0)</f>
        <v/>
      </c>
      <c r="G49" s="15" t="inlineStr">
        <is>
          <t>No</t>
        </is>
      </c>
      <c r="H49" s="16">
        <f>IF(G49="Yes",ROUND(D49*$B$7,1),0)</f>
        <v/>
      </c>
      <c r="I49" s="16">
        <f>F49+H49</f>
        <v/>
      </c>
      <c r="J49" s="15" t="inlineStr">
        <is>
          <t>Included</t>
        </is>
      </c>
      <c r="K49" s="15" t="inlineStr">
        <is>
          <t>Implementation</t>
        </is>
      </c>
      <c r="L49" s="15" t="n"/>
      <c r="M49" s="15" t="n"/>
      <c r="N49" s="15" t="n"/>
      <c r="O49" s="15" t="n"/>
    </row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49" showDropDown="0" showInputMessage="0" showErrorMessage="0" allowBlank="1" type="list">
      <formula1>"Discovery,Implementation,Post-MVP Enhancement,Maintenance"</formula1>
    </dataValidation>
    <dataValidation sqref="J12:J49" showDropDown="0" showInputMessage="0" showErrorMessage="0" allowBlank="1" type="list">
      <formula1>"Included,Not included,Post-MVP,Select"</formula1>
    </dataValidation>
    <dataValidation sqref="G12:G49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baseColWidth="8" defaultColWidth="14.43" defaultRowHeight="15" customHeight="1"/>
  <cols>
    <col width="10" customWidth="1" style="27" min="1" max="1"/>
    <col width="40" customWidth="1" style="27" min="2" max="2"/>
    <col width="9" customWidth="1" style="27" min="3" max="3"/>
    <col width="11" customWidth="1" style="27" min="4" max="5"/>
    <col width="10" customWidth="1" style="27" min="6" max="6"/>
    <col width="12" customWidth="1" style="27" min="7" max="7"/>
    <col width="11" customWidth="1" style="27" min="8" max="8"/>
    <col width="12" customWidth="1" style="27" min="9" max="9"/>
    <col width="13" customWidth="1" style="27" min="10" max="10"/>
    <col width="18" customWidth="1" style="27" min="11" max="11"/>
    <col width="32" customWidth="1" style="27" min="12" max="12"/>
    <col width="38" customWidth="1" style="27" min="13" max="13"/>
    <col width="30" customWidth="1" style="27" min="14" max="14"/>
    <col width="24" customWidth="1" style="27" min="15" max="15"/>
    <col width="8.710000000000001" customWidth="1" style="27" min="16" max="26"/>
  </cols>
  <sheetData>
    <row r="1">
      <c r="A1" s="6" t="inlineStr">
        <is>
          <t>UI/UX Estimation</t>
        </is>
      </c>
    </row>
    <row r="2" ht="30" customHeight="1" s="27">
      <c r="A2" s="7" t="inlineStr">
        <is>
          <t>Purpose:</t>
        </is>
      </c>
      <c r="B2" s="28" t="inlineStr">
        <is>
          <t>UI/UX WBS — design audit, IA, wireframes, design system, per-epic screens, prototyping iterations, accessibility review, dev hand-off.</t>
        </is>
      </c>
    </row>
    <row r="3" ht="48" customHeight="1" s="27">
      <c r="A3" s="7" t="inlineStr">
        <is>
          <t>How to use:</t>
        </is>
      </c>
      <c r="B3" s="28" t="inlineStr">
        <is>
          <t>(1) Front-load Discovery items (audit, IA, wireframes, design system). (2) Add or remove epics from the Implementation block to match WBS and Estimates. (3) Apply Contingency = Yes on items requiring stakeholder reviews (wireframes, design system).</t>
        </is>
      </c>
    </row>
    <row r="4" ht="30" customHeight="1" s="27">
      <c r="A4" s="7" t="inlineStr">
        <is>
          <t>Inputs:</t>
        </is>
      </c>
      <c r="B4" s="28" t="inlineStr">
        <is>
          <t>O/ML/P per row, Apply Contingency Y/N, Include, Phase, Deliverable, Description.</t>
        </is>
      </c>
    </row>
    <row r="5" ht="30" customHeight="1" s="27">
      <c r="A5" s="7" t="inlineStr">
        <is>
          <t>Outputs:</t>
        </is>
      </c>
      <c r="B5" s="28" t="inlineStr">
        <is>
          <t>UX roll-up flows to Buffers and Headcount and Cost.</t>
        </is>
      </c>
    </row>
    <row r="6" ht="30" customHeight="1" s="27">
      <c r="A6" s="7" t="inlineStr">
        <is>
          <t>Linked tabs:</t>
        </is>
      </c>
      <c r="B6" s="28" t="inlineStr">
        <is>
          <t>Buffers &amp; Non-Dev Activities (UI/UX roll-up). Headcount and Cost.</t>
        </is>
      </c>
    </row>
    <row r="7">
      <c r="A7" s="14" t="inlineStr">
        <is>
          <t>Default contingency:</t>
        </is>
      </c>
      <c r="B7" s="23" t="n">
        <v>0.2</v>
      </c>
      <c r="C7" s="12" t="inlineStr">
        <is>
          <t>(used when Apply Contingency = Yes; multiplied by Most Likely)</t>
        </is>
      </c>
    </row>
    <row r="8">
      <c r="A8" s="5" t="inlineStr">
        <is>
          <t>UI/UX deliverables are typically front-loaded in Discovery; keep an Implementation tail for hand-off and iteration.</t>
        </is>
      </c>
    </row>
    <row r="10" ht="31.5" customHeight="1" s="27">
      <c r="A10" s="17" t="inlineStr">
        <is>
          <t>ID</t>
        </is>
      </c>
      <c r="B10" s="17" t="inlineStr">
        <is>
          <t>Service / Activity</t>
        </is>
      </c>
      <c r="C10" s="17" t="inlineStr">
        <is>
          <t>Optimistic</t>
        </is>
      </c>
      <c r="D10" s="17" t="inlineStr">
        <is>
          <t>Most Likely</t>
        </is>
      </c>
      <c r="E10" s="17" t="inlineStr">
        <is>
          <t>Pessimistic</t>
        </is>
      </c>
      <c r="F10" s="17" t="inlineStr">
        <is>
          <t>Expected</t>
        </is>
      </c>
      <c r="G10" s="17" t="inlineStr">
        <is>
          <t>Apply Contingency</t>
        </is>
      </c>
      <c r="H10" s="17" t="inlineStr">
        <is>
          <t>Contingency</t>
        </is>
      </c>
      <c r="I10" s="17" t="inlineStr">
        <is>
          <t>Final Expected</t>
        </is>
      </c>
      <c r="J10" s="17" t="inlineStr">
        <is>
          <t>Include</t>
        </is>
      </c>
      <c r="K10" s="17" t="inlineStr">
        <is>
          <t>Project Phase</t>
        </is>
      </c>
      <c r="L10" s="17" t="inlineStr">
        <is>
          <t>Deliverable</t>
        </is>
      </c>
      <c r="M10" s="17" t="inlineStr">
        <is>
          <t>Description / Scope</t>
        </is>
      </c>
      <c r="N10" s="17" t="inlineStr">
        <is>
          <t>Assumptions</t>
        </is>
      </c>
      <c r="O10" s="17" t="inlineStr">
        <is>
          <t>Notes</t>
        </is>
      </c>
    </row>
    <row r="11">
      <c r="B11" s="14" t="inlineStr">
        <is>
          <t>TOTALS</t>
        </is>
      </c>
      <c r="C11" s="16">
        <f>SUM(C12:C26)</f>
        <v/>
      </c>
      <c r="D11" s="16">
        <f>SUM(D12:D26)</f>
        <v/>
      </c>
      <c r="E11" s="16">
        <f>SUM(E12:E26)</f>
        <v/>
      </c>
      <c r="F11" s="12">
        <f>SUM(F12:F26)</f>
        <v/>
      </c>
      <c r="H11" s="12">
        <f>SUM(H12:H26)</f>
        <v/>
      </c>
      <c r="I11" s="12">
        <f>SUMIF(J12:J26,"Included",I12:I26)</f>
        <v/>
      </c>
      <c r="J11" s="12" t="inlineStr">
        <is>
          <t>(only Included counted at right)</t>
        </is>
      </c>
    </row>
    <row r="12">
      <c r="A12" s="21" t="inlineStr">
        <is>
          <t>UX-1</t>
        </is>
      </c>
      <c r="B12" s="21" t="inlineStr">
        <is>
          <t>Discovery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12" t="inlineStr">
        <is>
          <t>UX-1.1</t>
        </is>
      </c>
      <c r="B13" s="12" t="inlineStr">
        <is>
          <t>Design audit / heuristic review</t>
        </is>
      </c>
      <c r="C13" s="15" t="n">
        <v>8</v>
      </c>
      <c r="D13" s="15" t="n">
        <v>16</v>
      </c>
      <c r="E13" s="15" t="n">
        <v>24</v>
      </c>
      <c r="F13" s="16">
        <f>IF(AND(C13&lt;&gt;"",D13&lt;&gt;"",E13&lt;&gt;""),(C13+4*D13+E13)/6,0)</f>
        <v/>
      </c>
      <c r="G13" s="15" t="inlineStr">
        <is>
          <t>No</t>
        </is>
      </c>
      <c r="H13" s="16">
        <f>IF(G13="Yes",ROUND(D13*$B$7,1),0)</f>
        <v/>
      </c>
      <c r="I13" s="16">
        <f>F13+H13</f>
        <v/>
      </c>
      <c r="J13" s="15" t="inlineStr">
        <is>
          <t>Included</t>
        </is>
      </c>
      <c r="K13" s="15" t="inlineStr">
        <is>
          <t>Discovery</t>
        </is>
      </c>
      <c r="L13" s="15" t="n"/>
      <c r="M13" s="15" t="n"/>
      <c r="N13" s="15" t="n"/>
      <c r="O13" s="15" t="n"/>
    </row>
    <row r="14">
      <c r="A14" s="12" t="inlineStr">
        <is>
          <t>UX-1.2</t>
        </is>
      </c>
      <c r="B14" s="12" t="inlineStr">
        <is>
          <t>User research / personas</t>
        </is>
      </c>
      <c r="C14" s="15" t="n">
        <v>16</v>
      </c>
      <c r="D14" s="15" t="n">
        <v>24</v>
      </c>
      <c r="E14" s="15" t="n">
        <v>40</v>
      </c>
      <c r="F14" s="16">
        <f>IF(AND(C14&lt;&gt;"",D14&lt;&gt;"",E14&lt;&gt;""),(C14+4*D14+E14)/6,0)</f>
        <v/>
      </c>
      <c r="G14" s="15" t="inlineStr">
        <is>
          <t>No</t>
        </is>
      </c>
      <c r="H14" s="16">
        <f>IF(G14="Yes",ROUND(D14*$B$7,1),0)</f>
        <v/>
      </c>
      <c r="I14" s="16">
        <f>F14+H14</f>
        <v/>
      </c>
      <c r="J14" s="15" t="inlineStr">
        <is>
          <t>Not included</t>
        </is>
      </c>
      <c r="K14" s="15" t="inlineStr">
        <is>
          <t>Discovery</t>
        </is>
      </c>
      <c r="L14" s="15" t="n"/>
      <c r="M14" s="15" t="n"/>
      <c r="N14" s="15" t="n"/>
      <c r="O14" s="15" t="n"/>
    </row>
    <row r="15">
      <c r="A15" s="12" t="inlineStr">
        <is>
          <t>UX-1.3</t>
        </is>
      </c>
      <c r="B15" s="12" t="inlineStr">
        <is>
          <t>Information architecture</t>
        </is>
      </c>
      <c r="C15" s="15" t="n">
        <v>8</v>
      </c>
      <c r="D15" s="15" t="n">
        <v>16</v>
      </c>
      <c r="E15" s="15" t="n">
        <v>24</v>
      </c>
      <c r="F15" s="16">
        <f>IF(AND(C15&lt;&gt;"",D15&lt;&gt;"",E15&lt;&gt;""),(C15+4*D15+E15)/6,0)</f>
        <v/>
      </c>
      <c r="G15" s="15" t="inlineStr">
        <is>
          <t>No</t>
        </is>
      </c>
      <c r="H15" s="16">
        <f>IF(G15="Yes",ROUND(D15*$B$7,1),0)</f>
        <v/>
      </c>
      <c r="I15" s="16">
        <f>F15+H15</f>
        <v/>
      </c>
      <c r="J15" s="15" t="inlineStr">
        <is>
          <t>Included</t>
        </is>
      </c>
      <c r="K15" s="15" t="inlineStr">
        <is>
          <t>Discovery</t>
        </is>
      </c>
      <c r="L15" s="15" t="n"/>
      <c r="M15" s="15" t="n"/>
      <c r="N15" s="15" t="n"/>
      <c r="O15" s="15" t="n"/>
    </row>
    <row r="16">
      <c r="A16" s="12" t="inlineStr">
        <is>
          <t>UX-1.4</t>
        </is>
      </c>
      <c r="B16" s="12" t="inlineStr">
        <is>
          <t>Wireframes (key flows)</t>
        </is>
      </c>
      <c r="C16" s="15" t="n">
        <v>16</v>
      </c>
      <c r="D16" s="15" t="n">
        <v>32</v>
      </c>
      <c r="E16" s="15" t="n">
        <v>48</v>
      </c>
      <c r="F16" s="16">
        <f>IF(AND(C16&lt;&gt;"",D16&lt;&gt;"",E16&lt;&gt;""),(C16+4*D16+E16)/6,0)</f>
        <v/>
      </c>
      <c r="G16" s="15" t="inlineStr">
        <is>
          <t>Yes</t>
        </is>
      </c>
      <c r="H16" s="16">
        <f>IF(G16="Yes",ROUND(D16*$B$7,1),0)</f>
        <v/>
      </c>
      <c r="I16" s="16">
        <f>F16+H16</f>
        <v/>
      </c>
      <c r="J16" s="15" t="inlineStr">
        <is>
          <t>Included</t>
        </is>
      </c>
      <c r="K16" s="15" t="inlineStr">
        <is>
          <t>Discovery</t>
        </is>
      </c>
      <c r="L16" s="15" t="n"/>
      <c r="M16" s="15" t="n"/>
      <c r="N16" s="15" t="n"/>
      <c r="O16" s="15" t="n"/>
    </row>
    <row r="17">
      <c r="A17" s="12" t="inlineStr">
        <is>
          <t>UX-1.5</t>
        </is>
      </c>
      <c r="B17" s="12" t="inlineStr">
        <is>
          <t>Design system / tokens</t>
        </is>
      </c>
      <c r="C17" s="15" t="n">
        <v>16</v>
      </c>
      <c r="D17" s="15" t="n">
        <v>32</v>
      </c>
      <c r="E17" s="15" t="n">
        <v>48</v>
      </c>
      <c r="F17" s="16">
        <f>IF(AND(C17&lt;&gt;"",D17&lt;&gt;"",E17&lt;&gt;""),(C17+4*D17+E17)/6,0)</f>
        <v/>
      </c>
      <c r="G17" s="15" t="inlineStr">
        <is>
          <t>Yes</t>
        </is>
      </c>
      <c r="H17" s="16">
        <f>IF(G17="Yes",ROUND(D17*$B$7,1),0)</f>
        <v/>
      </c>
      <c r="I17" s="16">
        <f>F17+H17</f>
        <v/>
      </c>
      <c r="J17" s="15" t="inlineStr">
        <is>
          <t>Included</t>
        </is>
      </c>
      <c r="K17" s="15" t="inlineStr">
        <is>
          <t>Discovery</t>
        </is>
      </c>
      <c r="L17" s="15" t="n"/>
      <c r="M17" s="15" t="n"/>
      <c r="N17" s="15" t="n"/>
      <c r="O17" s="15" t="n"/>
    </row>
    <row r="18">
      <c r="A18" s="21" t="inlineStr">
        <is>
          <t>UX-2</t>
        </is>
      </c>
      <c r="B18" s="21" t="inlineStr">
        <is>
          <t>Implementation — per epic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12" t="inlineStr">
        <is>
          <t>UX-2.1</t>
        </is>
      </c>
      <c r="B19" s="12" t="inlineStr">
        <is>
          <t>Authorization screens</t>
        </is>
      </c>
      <c r="C19" s="15" t="n">
        <v>8</v>
      </c>
      <c r="D19" s="15" t="n">
        <v>12</v>
      </c>
      <c r="E19" s="15" t="n">
        <v>20</v>
      </c>
      <c r="F19" s="16">
        <f>IF(AND(C19&lt;&gt;"",D19&lt;&gt;"",E19&lt;&gt;""),(C19+4*D19+E19)/6,0)</f>
        <v/>
      </c>
      <c r="G19" s="15" t="inlineStr">
        <is>
          <t>No</t>
        </is>
      </c>
      <c r="H19" s="16">
        <f>IF(G19="Yes",ROUND(D19*$B$7,1),0)</f>
        <v/>
      </c>
      <c r="I19" s="16">
        <f>F19+H19</f>
        <v/>
      </c>
      <c r="J19" s="15" t="inlineStr">
        <is>
          <t>Included</t>
        </is>
      </c>
      <c r="K19" s="15" t="inlineStr">
        <is>
          <t>Implementation</t>
        </is>
      </c>
      <c r="L19" s="15" t="n"/>
      <c r="M19" s="15" t="n"/>
      <c r="N19" s="15" t="n"/>
      <c r="O19" s="15" t="n"/>
    </row>
    <row r="20">
      <c r="A20" s="12" t="inlineStr">
        <is>
          <t>UX-2.2</t>
        </is>
      </c>
      <c r="B20" s="12" t="inlineStr">
        <is>
          <t>Profile screens</t>
        </is>
      </c>
      <c r="C20" s="15" t="n">
        <v>8</v>
      </c>
      <c r="D20" s="15" t="n">
        <v>16</v>
      </c>
      <c r="E20" s="15" t="n">
        <v>24</v>
      </c>
      <c r="F20" s="16">
        <f>IF(AND(C20&lt;&gt;"",D20&lt;&gt;"",E20&lt;&gt;""),(C20+4*D20+E20)/6,0)</f>
        <v/>
      </c>
      <c r="G20" s="15" t="inlineStr">
        <is>
          <t>No</t>
        </is>
      </c>
      <c r="H20" s="16">
        <f>IF(G20="Yes",ROUND(D20*$B$7,1),0)</f>
        <v/>
      </c>
      <c r="I20" s="16">
        <f>F20+H20</f>
        <v/>
      </c>
      <c r="J20" s="15" t="inlineStr">
        <is>
          <t>Included</t>
        </is>
      </c>
      <c r="K20" s="15" t="inlineStr">
        <is>
          <t>Implementation</t>
        </is>
      </c>
      <c r="L20" s="15" t="n"/>
      <c r="M20" s="15" t="n"/>
      <c r="N20" s="15" t="n"/>
      <c r="O20" s="15" t="n"/>
    </row>
    <row r="21" ht="15.75" customHeight="1" s="27">
      <c r="A21" s="12" t="inlineStr">
        <is>
          <t>UX-2.3</t>
        </is>
      </c>
      <c r="B21" s="12" t="inlineStr">
        <is>
          <t>Wallet screens</t>
        </is>
      </c>
      <c r="C21" s="15" t="n">
        <v>16</v>
      </c>
      <c r="D21" s="15" t="n">
        <v>32</v>
      </c>
      <c r="E21" s="15" t="n">
        <v>48</v>
      </c>
      <c r="F21" s="16">
        <f>IF(AND(C21&lt;&gt;"",D21&lt;&gt;"",E21&lt;&gt;""),(C21+4*D21+E21)/6,0)</f>
        <v/>
      </c>
      <c r="G21" s="15" t="inlineStr">
        <is>
          <t>Yes</t>
        </is>
      </c>
      <c r="H21" s="16">
        <f>IF(G21="Yes",ROUND(D21*$B$7,1),0)</f>
        <v/>
      </c>
      <c r="I21" s="16">
        <f>F21+H21</f>
        <v/>
      </c>
      <c r="J21" s="15" t="inlineStr">
        <is>
          <t>Included</t>
        </is>
      </c>
      <c r="K21" s="15" t="inlineStr">
        <is>
          <t>Implementation</t>
        </is>
      </c>
      <c r="L21" s="15" t="n"/>
      <c r="M21" s="15" t="n"/>
      <c r="N21" s="15" t="n"/>
      <c r="O21" s="15" t="n"/>
    </row>
    <row r="22" ht="15.75" customHeight="1" s="27">
      <c r="A22" s="12" t="inlineStr">
        <is>
          <t>UX-2.4</t>
        </is>
      </c>
      <c r="B22" s="12" t="inlineStr">
        <is>
          <t>Admin panel screens</t>
        </is>
      </c>
      <c r="C22" s="15" t="n">
        <v>8</v>
      </c>
      <c r="D22" s="15" t="n">
        <v>16</v>
      </c>
      <c r="E22" s="15" t="n">
        <v>24</v>
      </c>
      <c r="F22" s="16">
        <f>IF(AND(C22&lt;&gt;"",D22&lt;&gt;"",E22&lt;&gt;""),(C22+4*D22+E22)/6,0)</f>
        <v/>
      </c>
      <c r="G22" s="15" t="inlineStr">
        <is>
          <t>No</t>
        </is>
      </c>
      <c r="H22" s="16">
        <f>IF(G22="Yes",ROUND(D22*$B$7,1),0)</f>
        <v/>
      </c>
      <c r="I22" s="16">
        <f>F22+H22</f>
        <v/>
      </c>
      <c r="J22" s="15" t="inlineStr">
        <is>
          <t>Included</t>
        </is>
      </c>
      <c r="K22" s="15" t="inlineStr">
        <is>
          <t>Implementation</t>
        </is>
      </c>
      <c r="L22" s="15" t="n"/>
      <c r="M22" s="15" t="n"/>
      <c r="N22" s="15" t="n"/>
      <c r="O22" s="15" t="n"/>
    </row>
    <row r="23" ht="15.75" customHeight="1" s="27">
      <c r="A23" s="12" t="inlineStr">
        <is>
          <t>UX-2.5</t>
        </is>
      </c>
      <c r="B23" s="12" t="inlineStr">
        <is>
          <t>Notifications / feedback states</t>
        </is>
      </c>
      <c r="C23" s="15" t="n">
        <v>4</v>
      </c>
      <c r="D23" s="15" t="n">
        <v>8</v>
      </c>
      <c r="E23" s="15" t="n">
        <v>12</v>
      </c>
      <c r="F23" s="16">
        <f>IF(AND(C23&lt;&gt;"",D23&lt;&gt;"",E23&lt;&gt;""),(C23+4*D23+E23)/6,0)</f>
        <v/>
      </c>
      <c r="G23" s="15" t="inlineStr">
        <is>
          <t>No</t>
        </is>
      </c>
      <c r="H23" s="16">
        <f>IF(G23="Yes",ROUND(D23*$B$7,1),0)</f>
        <v/>
      </c>
      <c r="I23" s="16">
        <f>F23+H23</f>
        <v/>
      </c>
      <c r="J23" s="15" t="inlineStr">
        <is>
          <t>Included</t>
        </is>
      </c>
      <c r="K23" s="15" t="inlineStr">
        <is>
          <t>Implementation</t>
        </is>
      </c>
      <c r="L23" s="15" t="n"/>
      <c r="M23" s="15" t="n"/>
      <c r="N23" s="15" t="n"/>
      <c r="O23" s="15" t="n"/>
    </row>
    <row r="24" ht="15.75" customHeight="1" s="27">
      <c r="A24" s="12" t="inlineStr">
        <is>
          <t>UX-2.6</t>
        </is>
      </c>
      <c r="B24" s="12" t="inlineStr">
        <is>
          <t>Dev hand-off / specs</t>
        </is>
      </c>
      <c r="C24" s="15" t="n">
        <v>8</v>
      </c>
      <c r="D24" s="15" t="n">
        <v>16</v>
      </c>
      <c r="E24" s="15" t="n">
        <v>24</v>
      </c>
      <c r="F24" s="16">
        <f>IF(AND(C24&lt;&gt;"",D24&lt;&gt;"",E24&lt;&gt;""),(C24+4*D24+E24)/6,0)</f>
        <v/>
      </c>
      <c r="G24" s="15" t="inlineStr">
        <is>
          <t>No</t>
        </is>
      </c>
      <c r="H24" s="16">
        <f>IF(G24="Yes",ROUND(D24*$B$7,1),0)</f>
        <v/>
      </c>
      <c r="I24" s="16">
        <f>F24+H24</f>
        <v/>
      </c>
      <c r="J24" s="15" t="inlineStr">
        <is>
          <t>Included</t>
        </is>
      </c>
      <c r="K24" s="15" t="inlineStr">
        <is>
          <t>Implementation</t>
        </is>
      </c>
      <c r="L24" s="15" t="n"/>
      <c r="M24" s="15" t="n"/>
      <c r="N24" s="15" t="n"/>
      <c r="O24" s="15" t="n"/>
    </row>
    <row r="25" ht="15.75" customHeight="1" s="27">
      <c r="A25" s="12" t="inlineStr">
        <is>
          <t>UX-2.7</t>
        </is>
      </c>
      <c r="B25" s="12" t="inlineStr">
        <is>
          <t>Prototype iterations</t>
        </is>
      </c>
      <c r="C25" s="15" t="n">
        <v>4</v>
      </c>
      <c r="D25" s="15" t="n">
        <v>8</v>
      </c>
      <c r="E25" s="15" t="n">
        <v>16</v>
      </c>
      <c r="F25" s="16">
        <f>IF(AND(C25&lt;&gt;"",D25&lt;&gt;"",E25&lt;&gt;""),(C25+4*D25+E25)/6,0)</f>
        <v/>
      </c>
      <c r="G25" s="15" t="inlineStr">
        <is>
          <t>No</t>
        </is>
      </c>
      <c r="H25" s="16">
        <f>IF(G25="Yes",ROUND(D25*$B$7,1),0)</f>
        <v/>
      </c>
      <c r="I25" s="16">
        <f>F25+H25</f>
        <v/>
      </c>
      <c r="J25" s="15" t="inlineStr">
        <is>
          <t>Included</t>
        </is>
      </c>
      <c r="K25" s="15" t="inlineStr">
        <is>
          <t>Implementation</t>
        </is>
      </c>
      <c r="L25" s="15" t="n"/>
      <c r="M25" s="15" t="n"/>
      <c r="N25" s="15" t="n"/>
      <c r="O25" s="15" t="n"/>
    </row>
    <row r="26" ht="15.75" customHeight="1" s="27">
      <c r="A26" s="12" t="inlineStr">
        <is>
          <t>UX-2.8</t>
        </is>
      </c>
      <c r="B26" s="12" t="inlineStr">
        <is>
          <t>Accessibility review</t>
        </is>
      </c>
      <c r="C26" s="15" t="n">
        <v>4</v>
      </c>
      <c r="D26" s="15" t="n">
        <v>8</v>
      </c>
      <c r="E26" s="15" t="n">
        <v>16</v>
      </c>
      <c r="F26" s="16">
        <f>IF(AND(C26&lt;&gt;"",D26&lt;&gt;"",E26&lt;&gt;""),(C26+4*D26+E26)/6,0)</f>
        <v/>
      </c>
      <c r="G26" s="15" t="inlineStr">
        <is>
          <t>No</t>
        </is>
      </c>
      <c r="H26" s="16">
        <f>IF(G26="Yes",ROUND(D26*$B$7,1),0)</f>
        <v/>
      </c>
      <c r="I26" s="16">
        <f>F26+H26</f>
        <v/>
      </c>
      <c r="J26" s="15" t="inlineStr">
        <is>
          <t>Included</t>
        </is>
      </c>
      <c r="K26" s="15" t="inlineStr">
        <is>
          <t>Implementation</t>
        </is>
      </c>
      <c r="L26" s="15" t="n"/>
      <c r="M26" s="15" t="n"/>
      <c r="N26" s="15" t="n"/>
      <c r="O26" s="15" t="n"/>
    </row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7">
    <mergeCell ref="B4:O4"/>
    <mergeCell ref="B6:O6"/>
    <mergeCell ref="B2:O2"/>
    <mergeCell ref="A1:O1"/>
    <mergeCell ref="B3:O3"/>
    <mergeCell ref="B5:O5"/>
    <mergeCell ref="A8:O8"/>
  </mergeCells>
  <dataValidations count="3">
    <dataValidation sqref="K12:K26" showDropDown="0" showInputMessage="0" showErrorMessage="0" allowBlank="1" type="list">
      <formula1>"Discovery,Implementation,Post-MVP Enhancement,Maintenance"</formula1>
    </dataValidation>
    <dataValidation sqref="J12:J26" showDropDown="0" showInputMessage="0" showErrorMessage="0" allowBlank="1" type="list">
      <formula1>"Included,Not included,Post-MVP,Select"</formula1>
    </dataValidation>
    <dataValidation sqref="G12:G26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7" min="1" max="1"/>
    <col width="14" customWidth="1" style="27" min="2" max="4"/>
    <col width="12" customWidth="1" style="27" min="5" max="5"/>
    <col width="22" customWidth="1" style="27" min="6" max="6"/>
    <col width="14" customWidth="1" style="27" min="7" max="7"/>
    <col width="16" customWidth="1" style="27" min="8" max="9"/>
    <col width="14" customWidth="1" style="27" min="10" max="10"/>
    <col width="18" customWidth="1" style="27" min="11" max="11"/>
    <col width="14" customWidth="1" style="27" min="12" max="12"/>
    <col width="8.710000000000001" customWidth="1" style="27" min="13" max="26"/>
  </cols>
  <sheetData>
    <row r="1">
      <c r="A1" s="6" t="inlineStr">
        <is>
          <t>Buffers &amp; Non-Dev Activities</t>
        </is>
      </c>
    </row>
    <row r="2" ht="48" customHeight="1" s="27">
      <c r="A2" s="7" t="inlineStr">
        <is>
          <t>Purpose:</t>
        </is>
      </c>
      <c r="B2" s="28" t="inlineStr">
        <is>
          <t>Applies the project-wide PERT Z-score buffer to dev hours, then adds Bugfix / Documentation / Communication coefficients. Derives Manual QA &amp; AQA from BE+FE (with variance now correctly propagated, fixing a v1.4 bug). Rolls up discipline-tab Final Expected sums (BA / Arch / DevOps / PM / UI-UX / QA-from-tab).</t>
        </is>
      </c>
    </row>
    <row r="3" ht="48" customHeight="1" s="27">
      <c r="A3" s="7" t="inlineStr">
        <is>
          <t>How to use:</t>
        </is>
      </c>
      <c r="B3" s="28" t="inlineStr">
        <is>
          <t>(1) Set Z-Score (cell B2) to 0 (50% CI), 1 (84% CI) or 2 (97% CI). Higher = more conservative. (2) The dev rows pull subtotals (Expected) and variance (sum-of-variance per row) from WBS and Estimates. (3) Coefficients (Bugfix 12%, Documentation 5%, Communication 10%, MQA 15%, AQA 15%) come from Input Data named ranges. Edit there. (4) 'Treat BE as FullStack' (cell K6) merges FE into BE if your team is full-stack. (5) Discipline roll-ups at the bottom use SUMIF over each discipline tab's 'Included' rows.</t>
        </is>
      </c>
    </row>
    <row r="4" ht="30" customHeight="1" s="27">
      <c r="A4" s="7" t="inlineStr">
        <is>
          <t>Inputs:</t>
        </is>
      </c>
      <c r="B4" s="28" t="inlineStr">
        <is>
          <t>Z-Score, Treat BE as FullStack, Input Data coefficients. WBS Expected &amp; Variance from WBS and Estimates. Discipline tab Final Expected.</t>
        </is>
      </c>
    </row>
    <row r="5" ht="30" customHeight="1" s="27">
      <c r="A5" s="7" t="inlineStr">
        <is>
          <t>Outputs:</t>
        </is>
      </c>
      <c r="B5" s="28" t="inlineStr">
        <is>
          <t>Grand Total per role (col L) — feeds the 'Estimated Hours' column on Headcount and Cost.</t>
        </is>
      </c>
    </row>
    <row r="6" ht="30" customHeight="1" s="27">
      <c r="A6" s="7" t="inlineStr">
        <is>
          <t>Linked tabs:</t>
        </is>
      </c>
      <c r="B6" s="28" t="inlineStr">
        <is>
          <t>WBS and Estimates (input). Input Data (coefficients). All 6 discipline tabs (roll-ups). Headcount and Cost (consumer).</t>
        </is>
      </c>
    </row>
    <row r="7">
      <c r="A7" s="14" t="inlineStr">
        <is>
          <t>Z-Score (0..2)</t>
        </is>
      </c>
      <c r="B7" s="15" t="n">
        <v>1</v>
      </c>
      <c r="C7" s="24" t="inlineStr">
        <is>
          <t>0 = 50%, 1 = 84%, 2 = 97% confidence interval</t>
        </is>
      </c>
    </row>
    <row r="9" ht="31.5" customHeight="1" s="27">
      <c r="A9" s="17" t="inlineStr">
        <is>
          <t>Role</t>
        </is>
      </c>
      <c r="B9" s="17" t="inlineStr">
        <is>
          <t>Subtotal, h</t>
        </is>
      </c>
      <c r="C9" s="17" t="inlineStr">
        <is>
          <t>Variance, h</t>
        </is>
      </c>
      <c r="D9" s="17" t="inlineStr">
        <is>
          <t>StdDev, h</t>
        </is>
      </c>
      <c r="E9" s="17" t="inlineStr">
        <is>
          <t>Z-Score</t>
        </is>
      </c>
      <c r="F9" s="17" t="inlineStr">
        <is>
          <t>Dev &amp; Test Buffered, h</t>
        </is>
      </c>
      <c r="G9" s="17" t="inlineStr">
        <is>
          <t>Bugfix, h</t>
        </is>
      </c>
      <c r="H9" s="17" t="inlineStr">
        <is>
          <t>Documentation, h</t>
        </is>
      </c>
      <c r="I9" s="17" t="inlineStr">
        <is>
          <t>Communication, h</t>
        </is>
      </c>
      <c r="J9" s="17" t="inlineStr">
        <is>
          <t>Total, h</t>
        </is>
      </c>
      <c r="K9" s="17" t="inlineStr">
        <is>
          <t>Treat BE as FullStack</t>
        </is>
      </c>
      <c r="L9" s="17" t="inlineStr">
        <is>
          <t>Grand Total, h</t>
        </is>
      </c>
    </row>
    <row r="10">
      <c r="A10" s="12" t="inlineStr">
        <is>
          <t>Back-End</t>
        </is>
      </c>
      <c r="B10" s="16">
        <f>SUM('WBS and Estimates'!P:P)</f>
        <v/>
      </c>
      <c r="C10" s="16">
        <f>SUM('WBS and Estimates'!S:S)</f>
        <v/>
      </c>
      <c r="D10" s="16">
        <f>SQRT(C10)</f>
        <v/>
      </c>
      <c r="E10" s="16">
        <f>$B$7</f>
        <v/>
      </c>
      <c r="F10" s="16">
        <f>B10+E10*D10</f>
        <v/>
      </c>
      <c r="G10" s="16">
        <f>F10*RefBugFix</f>
        <v/>
      </c>
      <c r="H10" s="16">
        <f>F10*RefDocumentation</f>
        <v/>
      </c>
      <c r="I10" s="16">
        <f>F10*RefCommunication</f>
        <v/>
      </c>
      <c r="J10" s="16">
        <f>ROUND(F10+G10+H10+I10,0)</f>
        <v/>
      </c>
      <c r="K10" s="15" t="b">
        <v>0</v>
      </c>
      <c r="L10" s="16">
        <f>IF($K$10=TRUE,J10+J11,J10)</f>
        <v/>
      </c>
    </row>
    <row r="11">
      <c r="A11" s="12" t="inlineStr">
        <is>
          <t>Front-End</t>
        </is>
      </c>
      <c r="B11" s="16">
        <f>SUM('WBS and Estimates'!Q:Q)</f>
        <v/>
      </c>
      <c r="C11" s="16">
        <f>SUM('WBS and Estimates'!U:U)</f>
        <v/>
      </c>
      <c r="D11" s="16">
        <f>SQRT(C11)</f>
        <v/>
      </c>
      <c r="E11" s="16">
        <f>$B$7</f>
        <v/>
      </c>
      <c r="F11" s="16">
        <f>B11+E11*D11</f>
        <v/>
      </c>
      <c r="G11" s="16">
        <f>F11*RefBugFix</f>
        <v/>
      </c>
      <c r="H11" s="16">
        <f>F11*RefDocumentation</f>
        <v/>
      </c>
      <c r="I11" s="16">
        <f>F11*RefCommunication</f>
        <v/>
      </c>
      <c r="J11" s="16">
        <f>ROUND(F11+G11+H11+I11,0)</f>
        <v/>
      </c>
      <c r="L11" s="16">
        <f>IF($K$10=TRUE,0,J11)</f>
        <v/>
      </c>
    </row>
    <row r="12">
      <c r="A12" s="12" t="inlineStr">
        <is>
          <t>Manual QA</t>
        </is>
      </c>
      <c r="B12" s="16">
        <f>(B10+B11)*RefManualQA</f>
        <v/>
      </c>
      <c r="C12" s="16">
        <f>(C10+C11)*RefManualQA^2</f>
        <v/>
      </c>
      <c r="D12" s="16">
        <f>SQRT(C12)</f>
        <v/>
      </c>
      <c r="E12" s="16">
        <f>$B$7</f>
        <v/>
      </c>
      <c r="F12" s="16">
        <f>B12+E12*D12</f>
        <v/>
      </c>
      <c r="G12" s="16" t="n">
        <v>0</v>
      </c>
      <c r="H12" s="16">
        <f>F12*RefDocumentation</f>
        <v/>
      </c>
      <c r="I12" s="16">
        <f>F12*RefCommunication</f>
        <v/>
      </c>
      <c r="J12" s="16">
        <f>ROUND(F12+G12+H12+I12,0)</f>
        <v/>
      </c>
      <c r="L12" s="16">
        <f>J12</f>
        <v/>
      </c>
    </row>
    <row r="13">
      <c r="A13" s="12" t="inlineStr">
        <is>
          <t>AQA</t>
        </is>
      </c>
      <c r="B13" s="16">
        <f>(B10+B11)*RefAQA</f>
        <v/>
      </c>
      <c r="C13" s="16">
        <f>(C10+C11)*RefAQA^2</f>
        <v/>
      </c>
      <c r="D13" s="16">
        <f>SQRT(C13)</f>
        <v/>
      </c>
      <c r="E13" s="16">
        <f>$B$7</f>
        <v/>
      </c>
      <c r="F13" s="16">
        <f>B13+E13*D13</f>
        <v/>
      </c>
      <c r="G13" s="16" t="n">
        <v>0</v>
      </c>
      <c r="H13" s="16">
        <f>F13*RefDocumentation</f>
        <v/>
      </c>
      <c r="I13" s="16">
        <f>F13*RefCommunication</f>
        <v/>
      </c>
      <c r="J13" s="16">
        <f>ROUND(F13+G13+H13+I13,0)</f>
        <v/>
      </c>
      <c r="L13" s="16">
        <f>J13</f>
        <v/>
      </c>
    </row>
    <row r="15">
      <c r="A15" s="25" t="inlineStr">
        <is>
          <t>Pulled from discipline tabs (Final Expected, Included only)</t>
        </is>
      </c>
    </row>
    <row r="16">
      <c r="A16" s="12" t="inlineStr">
        <is>
          <t>BA</t>
        </is>
      </c>
      <c r="J16" s="16">
        <f>ROUND(SUMIF('BA Estimation'!J:J,"Included",'BA Estimation'!I:I),0)</f>
        <v/>
      </c>
      <c r="L16" s="16">
        <f>J16</f>
        <v/>
      </c>
    </row>
    <row r="17">
      <c r="A17" s="12" t="inlineStr">
        <is>
          <t>Architecture</t>
        </is>
      </c>
      <c r="J17" s="16">
        <f>ROUND(SUMIF('Arch Estimation'!J:J,"Included",'Arch Estimation'!I:I),0)</f>
        <v/>
      </c>
      <c r="L17" s="16">
        <f>J17</f>
        <v/>
      </c>
    </row>
    <row r="18">
      <c r="A18" s="12" t="inlineStr">
        <is>
          <t>DevOps</t>
        </is>
      </c>
      <c r="J18" s="16">
        <f>ROUND(SUMIF('DevOps Estimation'!J:J,"Included",'DevOps Estimation'!I:I),0)</f>
        <v/>
      </c>
      <c r="L18" s="16">
        <f>J18</f>
        <v/>
      </c>
    </row>
    <row r="19">
      <c r="A19" s="12" t="inlineStr">
        <is>
          <t>PM</t>
        </is>
      </c>
      <c r="J19" s="16">
        <f>ROUND(SUMIF('PM Estimation'!J:J,"Included",'PM Estimation'!I:I),0)</f>
        <v/>
      </c>
      <c r="L19" s="16">
        <f>J19</f>
        <v/>
      </c>
    </row>
    <row r="20">
      <c r="A20" s="12" t="inlineStr">
        <is>
          <t>UI/UX</t>
        </is>
      </c>
      <c r="J20" s="16">
        <f>ROUND(SUMIF('UIUX Estimation'!J:J,"Included",'UIUX Estimation'!I:I),0)</f>
        <v/>
      </c>
      <c r="L20" s="16">
        <f>J20</f>
        <v/>
      </c>
    </row>
    <row r="21" ht="15.75" customHeight="1" s="27">
      <c r="A21" s="12" t="inlineStr">
        <is>
          <t>QA (alt: from QA tab)</t>
        </is>
      </c>
      <c r="J21" s="16">
        <f>ROUND(SUMIF('QA Estimation'!J:J,"Included",'QA Estimation'!I:I),0)</f>
        <v/>
      </c>
      <c r="L21" s="16">
        <f>J21</f>
        <v/>
      </c>
    </row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L4"/>
    <mergeCell ref="B6:L6"/>
    <mergeCell ref="A1:L1"/>
    <mergeCell ref="B3:L3"/>
    <mergeCell ref="B2:L2"/>
    <mergeCell ref="B5:L5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7" min="1" max="1"/>
    <col width="12" customWidth="1" style="27" min="2" max="3"/>
    <col width="30" customWidth="1" style="27" min="4" max="4"/>
    <col width="8.710000000000001" customWidth="1" style="27" min="5" max="26"/>
  </cols>
  <sheetData>
    <row r="1">
      <c r="A1" s="6" t="inlineStr">
        <is>
          <t>Rates — Role x Seniority x Location rate card</t>
        </is>
      </c>
    </row>
    <row r="2" ht="64.5" customHeight="1" s="27">
      <c r="A2" s="7" t="inlineStr">
        <is>
          <t>Purpose:</t>
        </is>
      </c>
      <c r="B2" s="28" t="inlineStr">
        <is>
          <t>External rate card. Headcount and Cost and Maintenance look up the per-hour rate by matching a resource's (Role, Seniority, Location) triple here.</t>
        </is>
      </c>
    </row>
    <row r="3" ht="126.75" customHeight="1" s="27">
      <c r="A3" s="7" t="inlineStr">
        <is>
          <t>How to use:</t>
        </is>
      </c>
      <c r="B3" s="28" t="inlineStr">
        <is>
          <t>(1) Add rows by INSERTING between existing rows (do not append at the bottom — formulas reference whole columns; appending is fine but inserting keeps things tidy). (2) The triple (Role, Seniority, Location) is the key — keep names IDENTICAL to those used on Headcount and Cost. (3) If a resource's triple does not match any row, the cost formula falls back to RefRate ($/h) on Input Data.</t>
        </is>
      </c>
    </row>
    <row r="4" ht="30" customHeight="1" s="27">
      <c r="A4" s="7" t="inlineStr">
        <is>
          <t>Inputs:</t>
        </is>
      </c>
      <c r="B4" s="28" t="inlineStr">
        <is>
          <t>Manual rate entries.</t>
        </is>
      </c>
    </row>
    <row r="5" ht="30" customHeight="1" s="27">
      <c r="A5" s="7" t="inlineStr">
        <is>
          <t>Outputs:</t>
        </is>
      </c>
      <c r="B5" s="28" t="inlineStr">
        <is>
          <t>Rate, $/h consumed by Headcount and Cost and Maintenance via INDEX/MATCH.</t>
        </is>
      </c>
    </row>
    <row r="6" ht="30" customHeight="1" s="27">
      <c r="A6" s="7" t="inlineStr">
        <is>
          <t>Linked tabs:</t>
        </is>
      </c>
      <c r="B6" s="28" t="inlineStr">
        <is>
          <t>Headcount and Cost. Maintenance. Internal Cost &amp; Profitability (informational).</t>
        </is>
      </c>
    </row>
    <row r="8">
      <c r="A8" s="17" t="inlineStr">
        <is>
          <t>Role</t>
        </is>
      </c>
      <c r="B8" s="17" t="inlineStr">
        <is>
          <t>Seniority</t>
        </is>
      </c>
      <c r="C8" s="17" t="inlineStr">
        <is>
          <t>Location</t>
        </is>
      </c>
      <c r="D8" s="17" t="inlineStr">
        <is>
          <t>Rate, $/h</t>
        </is>
      </c>
    </row>
    <row r="9">
      <c r="A9" s="15" t="inlineStr">
        <is>
          <t>DM</t>
        </is>
      </c>
      <c r="B9" s="15" t="inlineStr">
        <is>
          <t>M2</t>
        </is>
      </c>
      <c r="C9" s="15" t="inlineStr">
        <is>
          <t>Poland</t>
        </is>
      </c>
      <c r="D9" s="15" t="n">
        <v>62</v>
      </c>
    </row>
    <row r="10">
      <c r="A10" s="15" t="inlineStr">
        <is>
          <t>PM</t>
        </is>
      </c>
      <c r="B10" s="15" t="inlineStr">
        <is>
          <t>M1</t>
        </is>
      </c>
      <c r="C10" s="15" t="inlineStr">
        <is>
          <t>Poland</t>
        </is>
      </c>
      <c r="D10" s="15" t="n">
        <v>55</v>
      </c>
    </row>
    <row r="11">
      <c r="A11" s="15" t="inlineStr">
        <is>
          <t>Solution Architect</t>
        </is>
      </c>
      <c r="B11" s="15" t="inlineStr">
        <is>
          <t>S1</t>
        </is>
      </c>
      <c r="C11" s="15" t="inlineStr">
        <is>
          <t>Poland</t>
        </is>
      </c>
      <c r="D11" s="15" t="n">
        <v>95</v>
      </c>
    </row>
    <row r="12">
      <c r="A12" s="15" t="inlineStr">
        <is>
          <t>Software Architect</t>
        </is>
      </c>
      <c r="B12" s="15" t="inlineStr">
        <is>
          <t>S1</t>
        </is>
      </c>
      <c r="C12" s="15" t="inlineStr">
        <is>
          <t>Poland</t>
        </is>
      </c>
      <c r="D12" s="15" t="n">
        <v>85</v>
      </c>
    </row>
    <row r="13">
      <c r="A13" s="15" t="inlineStr">
        <is>
          <t>BA</t>
        </is>
      </c>
      <c r="B13" s="15" t="inlineStr">
        <is>
          <t>S1</t>
        </is>
      </c>
      <c r="C13" s="15" t="inlineStr">
        <is>
          <t>Poland</t>
        </is>
      </c>
      <c r="D13" s="15" t="n">
        <v>53</v>
      </c>
    </row>
    <row r="14">
      <c r="A14" s="15" t="inlineStr">
        <is>
          <t>UI/UX</t>
        </is>
      </c>
      <c r="B14" s="15" t="inlineStr">
        <is>
          <t>M3</t>
        </is>
      </c>
      <c r="C14" s="15" t="inlineStr">
        <is>
          <t>Poland</t>
        </is>
      </c>
      <c r="D14" s="15" t="n">
        <v>50</v>
      </c>
    </row>
    <row r="15">
      <c r="A15" s="15" t="inlineStr">
        <is>
          <t>Front-End Web</t>
        </is>
      </c>
      <c r="B15" s="15" t="inlineStr">
        <is>
          <t>Lead</t>
        </is>
      </c>
      <c r="C15" s="15" t="inlineStr">
        <is>
          <t>Poland</t>
        </is>
      </c>
      <c r="D15" s="15" t="n">
        <v>72</v>
      </c>
    </row>
    <row r="16">
      <c r="A16" s="15" t="inlineStr">
        <is>
          <t>Front-End Web</t>
        </is>
      </c>
      <c r="B16" s="15" t="inlineStr">
        <is>
          <t>M1</t>
        </is>
      </c>
      <c r="C16" s="15" t="inlineStr">
        <is>
          <t>Poland</t>
        </is>
      </c>
      <c r="D16" s="15" t="n">
        <v>50</v>
      </c>
    </row>
    <row r="17">
      <c r="A17" s="15" t="inlineStr">
        <is>
          <t>Front-End Mobile</t>
        </is>
      </c>
      <c r="B17" s="15" t="inlineStr">
        <is>
          <t>S1</t>
        </is>
      </c>
      <c r="C17" s="15" t="inlineStr">
        <is>
          <t>Poland</t>
        </is>
      </c>
      <c r="D17" s="15" t="n">
        <v>55</v>
      </c>
    </row>
    <row r="18">
      <c r="A18" s="15" t="inlineStr">
        <is>
          <t>Back-End</t>
        </is>
      </c>
      <c r="B18" s="15" t="inlineStr">
        <is>
          <t>S1</t>
        </is>
      </c>
      <c r="C18" s="15" t="inlineStr">
        <is>
          <t>Poland</t>
        </is>
      </c>
      <c r="D18" s="15" t="n">
        <v>75</v>
      </c>
    </row>
    <row r="19">
      <c r="A19" s="15" t="inlineStr">
        <is>
          <t>Back-End</t>
        </is>
      </c>
      <c r="B19" s="15" t="inlineStr">
        <is>
          <t>M2</t>
        </is>
      </c>
      <c r="C19" s="15" t="inlineStr">
        <is>
          <t>Poland</t>
        </is>
      </c>
      <c r="D19" s="15" t="n">
        <v>55</v>
      </c>
    </row>
    <row r="20">
      <c r="A20" s="15" t="inlineStr">
        <is>
          <t>Back-End</t>
        </is>
      </c>
      <c r="B20" s="15" t="inlineStr">
        <is>
          <t>J2</t>
        </is>
      </c>
      <c r="C20" s="15" t="inlineStr">
        <is>
          <t>Poland</t>
        </is>
      </c>
      <c r="D20" s="15" t="n">
        <v>48</v>
      </c>
    </row>
    <row r="21" ht="15.75" customHeight="1" s="27">
      <c r="A21" s="15" t="inlineStr">
        <is>
          <t>Blockchain / Crypto</t>
        </is>
      </c>
      <c r="B21" s="15" t="inlineStr">
        <is>
          <t>S1</t>
        </is>
      </c>
      <c r="C21" s="15" t="inlineStr">
        <is>
          <t>Poland</t>
        </is>
      </c>
      <c r="D21" s="15" t="n">
        <v>120</v>
      </c>
    </row>
    <row r="22" ht="15.75" customHeight="1" s="27">
      <c r="A22" s="15" t="inlineStr">
        <is>
          <t>Manual QA</t>
        </is>
      </c>
      <c r="B22" s="15" t="inlineStr">
        <is>
          <t>S1</t>
        </is>
      </c>
      <c r="C22" s="15" t="inlineStr">
        <is>
          <t>Poland</t>
        </is>
      </c>
      <c r="D22" s="15" t="n">
        <v>47</v>
      </c>
    </row>
    <row r="23" ht="15.75" customHeight="1" s="27">
      <c r="A23" s="15" t="inlineStr">
        <is>
          <t>Manual QA</t>
        </is>
      </c>
      <c r="B23" s="15" t="inlineStr">
        <is>
          <t>M1</t>
        </is>
      </c>
      <c r="C23" s="15" t="inlineStr">
        <is>
          <t>Poland</t>
        </is>
      </c>
      <c r="D23" s="15" t="n">
        <v>42</v>
      </c>
    </row>
    <row r="24" ht="15.75" customHeight="1" s="27">
      <c r="A24" s="15" t="inlineStr">
        <is>
          <t>Manual QA</t>
        </is>
      </c>
      <c r="B24" s="15" t="inlineStr">
        <is>
          <t>J1</t>
        </is>
      </c>
      <c r="C24" s="15" t="inlineStr">
        <is>
          <t>Poland</t>
        </is>
      </c>
      <c r="D24" s="15" t="n">
        <v>33</v>
      </c>
    </row>
    <row r="25" ht="15.75" customHeight="1" s="27">
      <c r="A25" s="15" t="inlineStr">
        <is>
          <t>AQA</t>
        </is>
      </c>
      <c r="B25" s="15" t="inlineStr">
        <is>
          <t>M2</t>
        </is>
      </c>
      <c r="C25" s="15" t="inlineStr">
        <is>
          <t>Poland</t>
        </is>
      </c>
      <c r="D25" s="15" t="n">
        <v>50</v>
      </c>
    </row>
    <row r="26" ht="15.75" customHeight="1" s="27">
      <c r="A26" s="15" t="inlineStr">
        <is>
          <t>DevOps</t>
        </is>
      </c>
      <c r="B26" s="15" t="inlineStr">
        <is>
          <t>S1</t>
        </is>
      </c>
      <c r="C26" s="15" t="inlineStr">
        <is>
          <t>Poland</t>
        </is>
      </c>
      <c r="D26" s="15" t="n">
        <v>70</v>
      </c>
    </row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F4"/>
    <mergeCell ref="A1:D1"/>
    <mergeCell ref="B6:F6"/>
    <mergeCell ref="B2:F2"/>
    <mergeCell ref="B3:F3"/>
    <mergeCell ref="B5:F5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22" customWidth="1" style="27" min="1" max="1"/>
    <col width="12" customWidth="1" style="27" min="2" max="2"/>
    <col width="60" customWidth="1" style="27" min="3" max="3"/>
    <col width="22" customWidth="1" style="27" min="6" max="6"/>
    <col width="22" customWidth="1" style="27" min="8" max="8"/>
    <col width="22" customWidth="1" style="27" min="10" max="10"/>
    <col width="22" customWidth="1" style="27" min="12" max="12"/>
    <col width="22" customWidth="1" style="27" min="14" max="14"/>
    <col width="22" customWidth="1" style="27" min="16" max="16"/>
  </cols>
  <sheetData>
    <row r="1">
      <c r="A1" s="29" t="inlineStr">
        <is>
          <t>Input Data — global coefficients, blended-rate fallback, enums</t>
        </is>
      </c>
    </row>
    <row r="2">
      <c r="A2" s="30" t="inlineStr">
        <is>
          <t>Edit the values in column B. The whole workbook references these named cells.</t>
        </is>
      </c>
    </row>
    <row r="4">
      <c r="A4" s="31" t="inlineStr">
        <is>
          <t>Coefficients</t>
        </is>
      </c>
    </row>
    <row r="5">
      <c r="A5" s="32" t="inlineStr">
        <is>
          <t>RefUnitTest</t>
        </is>
      </c>
      <c r="B5" s="33" t="n">
        <v>0.2</v>
      </c>
      <c r="C5" s="34" t="inlineStr">
        <is>
          <t>WBS augmentation: unit-test overhead as fraction of base hours</t>
        </is>
      </c>
    </row>
    <row r="6">
      <c r="A6" s="32" t="inlineStr">
        <is>
          <t>RefIntegrationTest</t>
        </is>
      </c>
      <c r="B6" s="33" t="n">
        <v>0.1</v>
      </c>
      <c r="C6" s="34" t="inlineStr">
        <is>
          <t>WBS augmentation: integration-test overhead</t>
        </is>
      </c>
    </row>
    <row r="7">
      <c r="A7" s="32" t="inlineStr">
        <is>
          <t>RefCodeReview</t>
        </is>
      </c>
      <c r="B7" s="33" t="n">
        <v>0.1</v>
      </c>
      <c r="C7" s="34" t="inlineStr">
        <is>
          <t>WBS augmentation: code review overhead</t>
        </is>
      </c>
    </row>
    <row r="8">
      <c r="A8" s="32" t="inlineStr">
        <is>
          <t>RefManualQA</t>
        </is>
      </c>
      <c r="B8" s="33" t="n">
        <v>0.3</v>
      </c>
      <c r="C8" s="34" t="inlineStr">
        <is>
          <t>Manual QA hours = (BE+FE) * this</t>
        </is>
      </c>
    </row>
    <row r="9">
      <c r="A9" s="32" t="inlineStr">
        <is>
          <t>RefAQA</t>
        </is>
      </c>
      <c r="B9" s="33" t="n">
        <v>0.15</v>
      </c>
      <c r="C9" s="34" t="inlineStr">
        <is>
          <t>Automation QA hours = (BE+FE) * this</t>
        </is>
      </c>
    </row>
    <row r="10">
      <c r="A10" s="32" t="inlineStr">
        <is>
          <t>RefBugFix</t>
        </is>
      </c>
      <c r="B10" s="33" t="n">
        <v>0.1</v>
      </c>
      <c r="C10" s="34" t="inlineStr">
        <is>
          <t>Buffer: bugfix hours = Dev * this</t>
        </is>
      </c>
    </row>
    <row r="11">
      <c r="A11" s="32" t="inlineStr">
        <is>
          <t>RefDocumentation</t>
        </is>
      </c>
      <c r="B11" s="33" t="n">
        <v>0.07000000000000001</v>
      </c>
      <c r="C11" s="34" t="inlineStr">
        <is>
          <t>Buffer: documentation hours = Dev * this</t>
        </is>
      </c>
    </row>
    <row r="12">
      <c r="A12" s="32" t="inlineStr">
        <is>
          <t>RefCommunication</t>
        </is>
      </c>
      <c r="B12" s="33" t="n">
        <v>0.08</v>
      </c>
      <c r="C12" s="34" t="inlineStr">
        <is>
          <t>Buffer: communication hours = Dev * this</t>
        </is>
      </c>
    </row>
    <row r="13">
      <c r="A13" s="32" t="inlineStr">
        <is>
          <t>RefRate</t>
        </is>
      </c>
      <c r="B13" s="35" t="n">
        <v>60</v>
      </c>
      <c r="C13" s="34" t="inlineStr">
        <is>
          <t>Blended-rate fallback used when role lookup misses</t>
        </is>
      </c>
    </row>
    <row r="15">
      <c r="A15" s="31" t="inlineStr">
        <is>
          <t>Enums (data-validation source lists)</t>
        </is>
      </c>
    </row>
    <row r="16">
      <c r="F16" s="36" t="inlineStr">
        <is>
          <t>EnumRoles</t>
        </is>
      </c>
      <c r="H16" s="36" t="inlineStr">
        <is>
          <t>EnumSeniorities</t>
        </is>
      </c>
      <c r="J16" s="36" t="inlineStr">
        <is>
          <t>EnumPhase</t>
        </is>
      </c>
      <c r="L16" s="36" t="inlineStr">
        <is>
          <t>EnumLocations</t>
        </is>
      </c>
      <c r="N16" s="36" t="inlineStr">
        <is>
          <t>EnumYesNo</t>
        </is>
      </c>
      <c r="P16" s="36" t="inlineStr">
        <is>
          <t>EnumInclude</t>
        </is>
      </c>
    </row>
    <row r="17">
      <c r="F17" t="inlineStr">
        <is>
          <t>DM</t>
        </is>
      </c>
      <c r="H17" t="inlineStr">
        <is>
          <t>J1</t>
        </is>
      </c>
      <c r="J17" t="inlineStr">
        <is>
          <t>Discovery</t>
        </is>
      </c>
      <c r="L17" t="inlineStr">
        <is>
          <t>Poland</t>
        </is>
      </c>
      <c r="N17" t="inlineStr">
        <is>
          <t>Yes</t>
        </is>
      </c>
      <c r="P17" t="inlineStr">
        <is>
          <t>Included</t>
        </is>
      </c>
    </row>
    <row r="18">
      <c r="F18" t="inlineStr">
        <is>
          <t>PM</t>
        </is>
      </c>
      <c r="H18" t="inlineStr">
        <is>
          <t>J2</t>
        </is>
      </c>
      <c r="J18" t="inlineStr">
        <is>
          <t>Design</t>
        </is>
      </c>
      <c r="L18" t="inlineStr">
        <is>
          <t>Ukraine</t>
        </is>
      </c>
      <c r="N18" t="inlineStr">
        <is>
          <t>No</t>
        </is>
      </c>
      <c r="P18" t="inlineStr">
        <is>
          <t>Excluded</t>
        </is>
      </c>
    </row>
    <row r="19">
      <c r="F19" t="inlineStr">
        <is>
          <t>Solution Architect</t>
        </is>
      </c>
      <c r="H19" t="inlineStr">
        <is>
          <t>M1</t>
        </is>
      </c>
      <c r="J19" t="inlineStr">
        <is>
          <t>Build</t>
        </is>
      </c>
      <c r="L19" t="inlineStr">
        <is>
          <t>USA</t>
        </is>
      </c>
    </row>
    <row r="20">
      <c r="F20" t="inlineStr">
        <is>
          <t>Software Architect</t>
        </is>
      </c>
      <c r="H20" t="inlineStr">
        <is>
          <t>M2</t>
        </is>
      </c>
      <c r="J20" t="inlineStr">
        <is>
          <t>Test</t>
        </is>
      </c>
      <c r="L20" t="inlineStr">
        <is>
          <t>EU</t>
        </is>
      </c>
    </row>
    <row r="21">
      <c r="F21" t="inlineStr">
        <is>
          <t>BA</t>
        </is>
      </c>
      <c r="H21" t="inlineStr">
        <is>
          <t>M3</t>
        </is>
      </c>
      <c r="J21" t="inlineStr">
        <is>
          <t>Launch</t>
        </is>
      </c>
      <c r="L21" t="inlineStr">
        <is>
          <t>Remote</t>
        </is>
      </c>
    </row>
    <row r="22">
      <c r="F22" t="inlineStr">
        <is>
          <t>UI/UX</t>
        </is>
      </c>
      <c r="H22" t="inlineStr">
        <is>
          <t>S1</t>
        </is>
      </c>
      <c r="J22" t="inlineStr">
        <is>
          <t>Stabilization</t>
        </is>
      </c>
    </row>
    <row r="23">
      <c r="F23" t="inlineStr">
        <is>
          <t>Front-End Web</t>
        </is>
      </c>
      <c r="H23" t="inlineStr">
        <is>
          <t>Lead</t>
        </is>
      </c>
    </row>
    <row r="24">
      <c r="F24" t="inlineStr">
        <is>
          <t>Front-End Mobile</t>
        </is>
      </c>
    </row>
    <row r="25">
      <c r="F25" t="inlineStr">
        <is>
          <t>Back-End</t>
        </is>
      </c>
    </row>
    <row r="26">
      <c r="F26" t="inlineStr">
        <is>
          <t>Blockchain / Crypto</t>
        </is>
      </c>
    </row>
    <row r="27">
      <c r="F27" t="inlineStr">
        <is>
          <t>Manual QA</t>
        </is>
      </c>
    </row>
    <row r="28">
      <c r="F28" t="inlineStr">
        <is>
          <t>AQA</t>
        </is>
      </c>
    </row>
    <row r="29">
      <c r="F29" t="inlineStr">
        <is>
          <t>DevOps</t>
        </is>
      </c>
    </row>
  </sheetData>
  <mergeCells count="4">
    <mergeCell ref="A1:D1"/>
    <mergeCell ref="A4:D4"/>
    <mergeCell ref="A2:D2"/>
    <mergeCell ref="A15:D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27" min="1" max="1"/>
    <col width="12" customWidth="1" style="27" min="2" max="4"/>
    <col width="14" customWidth="1" style="27" min="5" max="6"/>
    <col width="12" customWidth="1" style="27" min="7" max="8"/>
    <col width="14" customWidth="1" style="27" min="9" max="10"/>
    <col width="12" customWidth="1" style="27" min="11" max="11"/>
    <col width="8.710000000000001" customWidth="1" style="27" min="12" max="26"/>
  </cols>
  <sheetData>
    <row r="1">
      <c r="A1" s="6" t="inlineStr">
        <is>
          <t>Internal Cost &amp; Profitability</t>
        </is>
      </c>
    </row>
    <row r="2" ht="48" customHeight="1" s="27">
      <c r="A2" s="7" t="inlineStr">
        <is>
          <t>Purpose:</t>
        </is>
      </c>
      <c r="B2" s="28" t="inlineStr">
        <is>
          <t>Margin model. Per resource, computes Internal Cost / month (salary + social tax + overhead) and Profit / month (External Rate * Hours/mo - Internal Cost). Project Profitability rolls up against Headcount and Cost Total Cost.</t>
        </is>
      </c>
    </row>
    <row r="3" ht="48" customHeight="1" s="27">
      <c r="A3" s="7" t="inlineStr">
        <is>
          <t>How to use:</t>
        </is>
      </c>
      <c r="B3" s="28" t="inlineStr">
        <is>
          <t>(1) Edit per row: Role / Seniority / External Rate / Avg Salary (gross monthly) / Internal Rate (informational) / Social Tax % / Overhead. Hours/mo defaults to 168 (=21 days * 8h). (2) Project Profitability cell at the bottom = (Headcount and Cost Total Cost - Sum Internal Cost) / Total Cost. Aim for 15-25% on standard work, more on high-risk fixed-price. (3) Seniority Index at the bottom shows team seniority relative to RefRate; &gt; 1 means more senior than the blended baseline.</t>
        </is>
      </c>
    </row>
    <row r="4" ht="30" customHeight="1" s="27">
      <c r="A4" s="7" t="inlineStr">
        <is>
          <t>Inputs:</t>
        </is>
      </c>
      <c r="B4" s="28" t="inlineStr">
        <is>
          <t>External rate, avg salary, social tax %, overhead, hours/month per resource (manual). Headcount and Cost Total Cost.</t>
        </is>
      </c>
    </row>
    <row r="5" ht="30" customHeight="1" s="27">
      <c r="A5" s="7" t="inlineStr">
        <is>
          <t>Outputs:</t>
        </is>
      </c>
      <c r="B5" s="28" t="inlineStr">
        <is>
          <t>Internal cost per resource, project total internal cost, project profitability %, seniority index. Reported on Check-list mandatory calculations.</t>
        </is>
      </c>
    </row>
    <row r="6" ht="30" customHeight="1" s="27">
      <c r="A6" s="7" t="inlineStr">
        <is>
          <t>Linked tabs:</t>
        </is>
      </c>
      <c r="B6" s="28" t="inlineStr">
        <is>
          <t>Rates (cross-check on external rate). Headcount and Cost (Total Cost). Check-list (mandatory KPIs).</t>
        </is>
      </c>
    </row>
    <row r="8">
      <c r="A8" s="17" t="inlineStr">
        <is>
          <t>Role</t>
        </is>
      </c>
      <c r="B8" s="17" t="inlineStr">
        <is>
          <t>Seniority</t>
        </is>
      </c>
      <c r="C8" s="17" t="inlineStr">
        <is>
          <t>External Rate, $/h</t>
        </is>
      </c>
      <c r="D8" s="17" t="inlineStr">
        <is>
          <t>Avg Salary, $/mo</t>
        </is>
      </c>
      <c r="E8" s="17" t="inlineStr">
        <is>
          <t>Internal Rate, $/h</t>
        </is>
      </c>
      <c r="F8" s="17" t="inlineStr">
        <is>
          <t>Social Tax %</t>
        </is>
      </c>
      <c r="G8" s="17" t="inlineStr">
        <is>
          <t>Overhead, $/mo</t>
        </is>
      </c>
      <c r="H8" s="17" t="inlineStr">
        <is>
          <t>Hours/mo</t>
        </is>
      </c>
      <c r="I8" s="17" t="inlineStr">
        <is>
          <t>Internal Cost, $/mo</t>
        </is>
      </c>
      <c r="J8" s="17" t="inlineStr">
        <is>
          <t>Profit, $/mo</t>
        </is>
      </c>
      <c r="K8" s="17" t="inlineStr">
        <is>
          <t>Profit %</t>
        </is>
      </c>
    </row>
    <row r="9">
      <c r="A9" s="15" t="inlineStr">
        <is>
          <t>DM</t>
        </is>
      </c>
      <c r="B9" s="15" t="inlineStr">
        <is>
          <t>M2</t>
        </is>
      </c>
      <c r="C9" s="15" t="n">
        <v>62</v>
      </c>
      <c r="D9" s="15" t="n">
        <v>6000</v>
      </c>
      <c r="E9" s="15" t="n">
        <v>35.71</v>
      </c>
      <c r="F9" s="15" t="n">
        <v>0.1</v>
      </c>
      <c r="G9" s="15" t="n">
        <v>2542</v>
      </c>
      <c r="H9" s="15" t="n">
        <v>168</v>
      </c>
      <c r="I9" s="16">
        <f>D9*(1+F9)+G9</f>
        <v/>
      </c>
      <c r="J9" s="16">
        <f>C9*H9-I9</f>
        <v/>
      </c>
      <c r="K9" s="16">
        <f>IFERROR(J9/(C9*H9),0)</f>
        <v/>
      </c>
    </row>
    <row r="10">
      <c r="A10" s="15" t="inlineStr">
        <is>
          <t>PM</t>
        </is>
      </c>
      <c r="B10" s="15" t="inlineStr">
        <is>
          <t>M1</t>
        </is>
      </c>
      <c r="C10" s="15" t="n">
        <v>55</v>
      </c>
      <c r="D10" s="15" t="n">
        <v>3000</v>
      </c>
      <c r="E10" s="15" t="n">
        <v>17.86</v>
      </c>
      <c r="F10" s="15" t="n">
        <v>0.1</v>
      </c>
      <c r="G10" s="15" t="n">
        <v>2542</v>
      </c>
      <c r="H10" s="15" t="n">
        <v>168</v>
      </c>
      <c r="I10" s="16">
        <f>D10*(1+F10)+G10</f>
        <v/>
      </c>
      <c r="J10" s="16">
        <f>C10*H10-I10</f>
        <v/>
      </c>
      <c r="K10" s="16">
        <f>IFERROR(J10/(C10*H10),0)</f>
        <v/>
      </c>
    </row>
    <row r="11">
      <c r="A11" s="15" t="inlineStr">
        <is>
          <t>Solution Architect</t>
        </is>
      </c>
      <c r="B11" s="15" t="inlineStr">
        <is>
          <t>S1</t>
        </is>
      </c>
      <c r="C11" s="15" t="n">
        <v>95</v>
      </c>
      <c r="D11" s="15" t="n">
        <v>8414</v>
      </c>
      <c r="E11" s="15" t="n">
        <v>50.08</v>
      </c>
      <c r="F11" s="15" t="n">
        <v>0.1</v>
      </c>
      <c r="G11" s="15" t="n">
        <v>2542</v>
      </c>
      <c r="H11" s="15" t="n">
        <v>168</v>
      </c>
      <c r="I11" s="16">
        <f>D11*(1+F11)+G11</f>
        <v/>
      </c>
      <c r="J11" s="16">
        <f>C11*H11-I11</f>
        <v/>
      </c>
      <c r="K11" s="16">
        <f>IFERROR(J11/(C11*H11),0)</f>
        <v/>
      </c>
    </row>
    <row r="12">
      <c r="A12" s="15" t="inlineStr">
        <is>
          <t>Software Architect</t>
        </is>
      </c>
      <c r="B12" s="15" t="inlineStr">
        <is>
          <t>S1</t>
        </is>
      </c>
      <c r="C12" s="15" t="n">
        <v>85</v>
      </c>
      <c r="D12" s="15" t="n">
        <v>7446</v>
      </c>
      <c r="E12" s="15" t="n">
        <v>44.32</v>
      </c>
      <c r="F12" s="15" t="n">
        <v>0.1</v>
      </c>
      <c r="G12" s="15" t="n">
        <v>2542</v>
      </c>
      <c r="H12" s="15" t="n">
        <v>168</v>
      </c>
      <c r="I12" s="16">
        <f>D12*(1+F12)+G12</f>
        <v/>
      </c>
      <c r="J12" s="16">
        <f>C12*H12-I12</f>
        <v/>
      </c>
      <c r="K12" s="16">
        <f>IFERROR(J12/(C12*H12),0)</f>
        <v/>
      </c>
    </row>
    <row r="13">
      <c r="A13" s="15" t="inlineStr">
        <is>
          <t>BA</t>
        </is>
      </c>
      <c r="B13" s="15" t="inlineStr">
        <is>
          <t>S1</t>
        </is>
      </c>
      <c r="C13" s="15" t="n">
        <v>53</v>
      </c>
      <c r="D13" s="15" t="n">
        <v>5040</v>
      </c>
      <c r="E13" s="15" t="n">
        <v>30</v>
      </c>
      <c r="F13" s="15" t="n">
        <v>0.1</v>
      </c>
      <c r="G13" s="15" t="n">
        <v>2542</v>
      </c>
      <c r="H13" s="15" t="n">
        <v>168</v>
      </c>
      <c r="I13" s="16">
        <f>D13*(1+F13)+G13</f>
        <v/>
      </c>
      <c r="J13" s="16">
        <f>C13*H13-I13</f>
        <v/>
      </c>
      <c r="K13" s="16">
        <f>IFERROR(J13/(C13*H13),0)</f>
        <v/>
      </c>
    </row>
    <row r="14">
      <c r="A14" s="15" t="inlineStr">
        <is>
          <t>UI/UX</t>
        </is>
      </c>
      <c r="B14" s="15" t="inlineStr">
        <is>
          <t>M3</t>
        </is>
      </c>
      <c r="C14" s="15" t="n">
        <v>50</v>
      </c>
      <c r="D14" s="15" t="n">
        <v>2800</v>
      </c>
      <c r="E14" s="15" t="n">
        <v>16.67</v>
      </c>
      <c r="F14" s="15" t="n">
        <v>0.1</v>
      </c>
      <c r="G14" s="15" t="n">
        <v>2542</v>
      </c>
      <c r="H14" s="15" t="n">
        <v>168</v>
      </c>
      <c r="I14" s="16">
        <f>D14*(1+F14)+G14</f>
        <v/>
      </c>
      <c r="J14" s="16">
        <f>C14*H14-I14</f>
        <v/>
      </c>
      <c r="K14" s="16">
        <f>IFERROR(J14/(C14*H14),0)</f>
        <v/>
      </c>
    </row>
    <row r="15">
      <c r="A15" s="15" t="inlineStr">
        <is>
          <t>Front-End Web Lead</t>
        </is>
      </c>
      <c r="B15" s="15" t="inlineStr">
        <is>
          <t>Lead</t>
        </is>
      </c>
      <c r="C15" s="15" t="n">
        <v>72</v>
      </c>
      <c r="D15" s="15" t="n">
        <v>4305</v>
      </c>
      <c r="E15" s="15" t="n">
        <v>25.63</v>
      </c>
      <c r="F15" s="15" t="n">
        <v>0.1</v>
      </c>
      <c r="G15" s="15" t="n">
        <v>2542</v>
      </c>
      <c r="H15" s="15" t="n">
        <v>168</v>
      </c>
      <c r="I15" s="16">
        <f>D15*(1+F15)+G15</f>
        <v/>
      </c>
      <c r="J15" s="16">
        <f>C15*H15-I15</f>
        <v/>
      </c>
      <c r="K15" s="16">
        <f>IFERROR(J15/(C15*H15),0)</f>
        <v/>
      </c>
    </row>
    <row r="16">
      <c r="A16" s="15" t="inlineStr">
        <is>
          <t>Front-End Web</t>
        </is>
      </c>
      <c r="B16" s="15" t="inlineStr">
        <is>
          <t>M1</t>
        </is>
      </c>
      <c r="C16" s="15" t="n">
        <v>50</v>
      </c>
      <c r="D16" s="15" t="n">
        <v>1909</v>
      </c>
      <c r="E16" s="15" t="n">
        <v>11.36</v>
      </c>
      <c r="F16" s="15" t="n">
        <v>0.1</v>
      </c>
      <c r="G16" s="15" t="n">
        <v>2542</v>
      </c>
      <c r="H16" s="15" t="n">
        <v>168</v>
      </c>
      <c r="I16" s="16">
        <f>D16*(1+F16)+G16</f>
        <v/>
      </c>
      <c r="J16" s="16">
        <f>C16*H16-I16</f>
        <v/>
      </c>
      <c r="K16" s="16">
        <f>IFERROR(J16/(C16*H16),0)</f>
        <v/>
      </c>
    </row>
    <row r="17">
      <c r="A17" s="15" t="inlineStr">
        <is>
          <t>Front-End Mobile</t>
        </is>
      </c>
      <c r="B17" s="15" t="inlineStr">
        <is>
          <t>S1</t>
        </is>
      </c>
      <c r="C17" s="15" t="n">
        <v>55</v>
      </c>
      <c r="D17" s="15" t="n">
        <v>4334</v>
      </c>
      <c r="E17" s="15" t="n">
        <v>25.8</v>
      </c>
      <c r="F17" s="15" t="n">
        <v>0.1</v>
      </c>
      <c r="G17" s="15" t="n">
        <v>2542</v>
      </c>
      <c r="H17" s="15" t="n">
        <v>168</v>
      </c>
      <c r="I17" s="16">
        <f>D17*(1+F17)+G17</f>
        <v/>
      </c>
      <c r="J17" s="16">
        <f>C17*H17-I17</f>
        <v/>
      </c>
      <c r="K17" s="16">
        <f>IFERROR(J17/(C17*H17),0)</f>
        <v/>
      </c>
    </row>
    <row r="18">
      <c r="A18" s="15" t="inlineStr">
        <is>
          <t>Back-End Lead</t>
        </is>
      </c>
      <c r="B18" s="15" t="inlineStr">
        <is>
          <t>S1</t>
        </is>
      </c>
      <c r="C18" s="15" t="n">
        <v>75</v>
      </c>
      <c r="D18" s="15" t="n">
        <v>5275</v>
      </c>
      <c r="E18" s="15" t="n">
        <v>31.4</v>
      </c>
      <c r="F18" s="15" t="n">
        <v>0.1</v>
      </c>
      <c r="G18" s="15" t="n">
        <v>2542</v>
      </c>
      <c r="H18" s="15" t="n">
        <v>168</v>
      </c>
      <c r="I18" s="16">
        <f>D18*(1+F18)+G18</f>
        <v/>
      </c>
      <c r="J18" s="16">
        <f>C18*H18-I18</f>
        <v/>
      </c>
      <c r="K18" s="16">
        <f>IFERROR(J18/(C18*H18),0)</f>
        <v/>
      </c>
    </row>
    <row r="19">
      <c r="A19" s="15" t="inlineStr">
        <is>
          <t>Back-End</t>
        </is>
      </c>
      <c r="B19" s="15" t="inlineStr">
        <is>
          <t>M2</t>
        </is>
      </c>
      <c r="C19" s="15" t="n">
        <v>55</v>
      </c>
      <c r="D19" s="15" t="n">
        <v>3936</v>
      </c>
      <c r="E19" s="15" t="n">
        <v>23.43</v>
      </c>
      <c r="F19" s="15" t="n">
        <v>0.1</v>
      </c>
      <c r="G19" s="15" t="n">
        <v>2542</v>
      </c>
      <c r="H19" s="15" t="n">
        <v>168</v>
      </c>
      <c r="I19" s="16">
        <f>D19*(1+F19)+G19</f>
        <v/>
      </c>
      <c r="J19" s="16">
        <f>C19*H19-I19</f>
        <v/>
      </c>
      <c r="K19" s="16">
        <f>IFERROR(J19/(C19*H19),0)</f>
        <v/>
      </c>
    </row>
    <row r="20">
      <c r="A20" s="15" t="inlineStr">
        <is>
          <t>Back-End Junior</t>
        </is>
      </c>
      <c r="B20" s="15" t="inlineStr">
        <is>
          <t>J2</t>
        </is>
      </c>
      <c r="C20" s="15" t="n">
        <v>48</v>
      </c>
      <c r="D20" s="15" t="n">
        <v>1500</v>
      </c>
      <c r="E20" s="15" t="n">
        <v>8.93</v>
      </c>
      <c r="F20" s="15" t="n">
        <v>0.1</v>
      </c>
      <c r="G20" s="15" t="n">
        <v>2542</v>
      </c>
      <c r="H20" s="15" t="n">
        <v>168</v>
      </c>
      <c r="I20" s="16">
        <f>D20*(1+F20)+G20</f>
        <v/>
      </c>
      <c r="J20" s="16">
        <f>C20*H20-I20</f>
        <v/>
      </c>
      <c r="K20" s="16">
        <f>IFERROR(J20/(C20*H20),0)</f>
        <v/>
      </c>
    </row>
    <row r="21" ht="15.75" customHeight="1" s="27">
      <c r="A21" s="15" t="inlineStr">
        <is>
          <t>Blockchain</t>
        </is>
      </c>
      <c r="B21" s="15" t="inlineStr">
        <is>
          <t>S1</t>
        </is>
      </c>
      <c r="C21" s="15" t="n">
        <v>120</v>
      </c>
      <c r="D21" s="15" t="n">
        <v>16800</v>
      </c>
      <c r="E21" s="15" t="n">
        <v>100</v>
      </c>
      <c r="F21" s="15" t="n">
        <v>0.1</v>
      </c>
      <c r="G21" s="15" t="n">
        <v>1596</v>
      </c>
      <c r="H21" s="15" t="n">
        <v>168</v>
      </c>
      <c r="I21" s="16">
        <f>D21*(1+F21)+G21</f>
        <v/>
      </c>
      <c r="J21" s="16">
        <f>C21*H21-I21</f>
        <v/>
      </c>
      <c r="K21" s="16">
        <f>IFERROR(J21/(C21*H21),0)</f>
        <v/>
      </c>
    </row>
    <row r="22" ht="15.75" customHeight="1" s="27">
      <c r="A22" s="15" t="inlineStr">
        <is>
          <t>Manual QA Lead</t>
        </is>
      </c>
      <c r="B22" s="15" t="inlineStr">
        <is>
          <t>S1</t>
        </is>
      </c>
      <c r="C22" s="15" t="n">
        <v>47</v>
      </c>
      <c r="D22" s="15" t="n">
        <v>3544</v>
      </c>
      <c r="E22" s="15" t="n">
        <v>21.1</v>
      </c>
      <c r="F22" s="15" t="n">
        <v>0.1</v>
      </c>
      <c r="G22" s="15" t="n">
        <v>2542</v>
      </c>
      <c r="H22" s="15" t="n">
        <v>168</v>
      </c>
      <c r="I22" s="16">
        <f>D22*(1+F22)+G22</f>
        <v/>
      </c>
      <c r="J22" s="16">
        <f>C22*H22-I22</f>
        <v/>
      </c>
      <c r="K22" s="16">
        <f>IFERROR(J22/(C22*H22),0)</f>
        <v/>
      </c>
    </row>
    <row r="23" ht="15.75" customHeight="1" s="27">
      <c r="A23" s="15" t="inlineStr">
        <is>
          <t>Manual QA</t>
        </is>
      </c>
      <c r="B23" s="15" t="inlineStr">
        <is>
          <t>M1</t>
        </is>
      </c>
      <c r="C23" s="15" t="n">
        <v>42</v>
      </c>
      <c r="D23" s="15" t="n">
        <v>1521</v>
      </c>
      <c r="E23" s="15" t="n">
        <v>9.050000000000001</v>
      </c>
      <c r="F23" s="15" t="n">
        <v>0.1</v>
      </c>
      <c r="G23" s="15" t="n">
        <v>2542</v>
      </c>
      <c r="H23" s="15" t="n">
        <v>168</v>
      </c>
      <c r="I23" s="16">
        <f>D23*(1+F23)+G23</f>
        <v/>
      </c>
      <c r="J23" s="16">
        <f>C23*H23-I23</f>
        <v/>
      </c>
      <c r="K23" s="16">
        <f>IFERROR(J23/(C23*H23),0)</f>
        <v/>
      </c>
    </row>
    <row r="24" ht="15.75" customHeight="1" s="27">
      <c r="A24" s="15" t="inlineStr">
        <is>
          <t>Manual QA Junior</t>
        </is>
      </c>
      <c r="B24" s="15" t="inlineStr">
        <is>
          <t>J1</t>
        </is>
      </c>
      <c r="C24" s="15" t="n">
        <v>33</v>
      </c>
      <c r="D24" s="15" t="n">
        <v>962</v>
      </c>
      <c r="E24" s="15" t="n">
        <v>5.73</v>
      </c>
      <c r="F24" s="15" t="n">
        <v>0.1</v>
      </c>
      <c r="G24" s="15" t="n">
        <v>2542</v>
      </c>
      <c r="H24" s="15" t="n">
        <v>168</v>
      </c>
      <c r="I24" s="16">
        <f>D24*(1+F24)+G24</f>
        <v/>
      </c>
      <c r="J24" s="16">
        <f>C24*H24-I24</f>
        <v/>
      </c>
      <c r="K24" s="16">
        <f>IFERROR(J24/(C24*H24),0)</f>
        <v/>
      </c>
    </row>
    <row r="25" ht="15.75" customHeight="1" s="27">
      <c r="A25" s="15" t="inlineStr">
        <is>
          <t>DevOps</t>
        </is>
      </c>
      <c r="B25" s="15" t="inlineStr">
        <is>
          <t>S1</t>
        </is>
      </c>
      <c r="C25" s="15" t="n">
        <v>70</v>
      </c>
      <c r="D25" s="15" t="n">
        <v>6368</v>
      </c>
      <c r="E25" s="15" t="n">
        <v>37.9</v>
      </c>
      <c r="F25" s="15" t="n">
        <v>0.1</v>
      </c>
      <c r="G25" s="15" t="n">
        <v>2542</v>
      </c>
      <c r="H25" s="15" t="n">
        <v>168</v>
      </c>
      <c r="I25" s="16">
        <f>D25*(1+F25)+G25</f>
        <v/>
      </c>
      <c r="J25" s="16">
        <f>C25*H25-I25</f>
        <v/>
      </c>
      <c r="K25" s="16">
        <f>IFERROR(J25/(C25*H25),0)</f>
        <v/>
      </c>
    </row>
    <row r="26" ht="15.75" customHeight="1" s="27"/>
    <row r="27" ht="15.75" customHeight="1" s="27">
      <c r="A27" s="14" t="inlineStr">
        <is>
          <t>Project Totals</t>
        </is>
      </c>
      <c r="I27" s="16">
        <f>SUM(I9:I25)</f>
        <v/>
      </c>
      <c r="J27" s="16">
        <f>SUM(J9:J25)</f>
        <v/>
      </c>
    </row>
    <row r="28" ht="15.75" customHeight="1" s="27"/>
    <row r="29" ht="15.75" customHeight="1" s="27">
      <c r="A29" s="14" t="inlineStr">
        <is>
          <t>Project Profitability (build)</t>
        </is>
      </c>
      <c r="B29" s="16">
        <f>IFERROR(('Headcount and Cost'!B12-I27)/'Headcount and Cost'!B12,0)</f>
        <v/>
      </c>
      <c r="C29" s="24" t="inlineStr">
        <is>
          <t>(Total Cost - Sum Internal Cost) / Total Cost</t>
        </is>
      </c>
    </row>
    <row r="30" ht="15.75" customHeight="1" s="27">
      <c r="A30" s="14" t="inlineStr">
        <is>
          <t>Seniority Index (avg)</t>
        </is>
      </c>
      <c r="B30" s="16">
        <f>AVERAGEIFS(C9:C25,C9:C25,"&gt;0")/RefRate</f>
        <v/>
      </c>
      <c r="C30" s="24" t="inlineStr">
        <is>
          <t>ratio of avg ext rate to fallback blended rate</t>
        </is>
      </c>
    </row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K4"/>
    <mergeCell ref="B6:K6"/>
    <mergeCell ref="B2:K2"/>
    <mergeCell ref="A1:K1"/>
    <mergeCell ref="B3:K3"/>
    <mergeCell ref="B5:K5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7" min="1" max="1"/>
    <col width="11" customWidth="1" style="27" min="2" max="2"/>
    <col width="12" customWidth="1" style="27" min="3" max="3"/>
    <col width="8" customWidth="1" style="27" min="4" max="4"/>
    <col width="11" customWidth="1" style="27" min="5" max="5"/>
    <col width="12" customWidth="1" style="27" min="6" max="6"/>
    <col width="9" customWidth="1" style="27" min="7" max="8"/>
    <col width="14" customWidth="1" style="27" min="9" max="10"/>
    <col width="4" customWidth="1" style="27" min="11" max="11"/>
    <col width="22" customWidth="1" style="27" min="12" max="12"/>
    <col width="14" customWidth="1" style="27" min="13" max="14"/>
    <col width="12" customWidth="1" style="27" min="15" max="15"/>
    <col width="14" customWidth="1" style="27" min="16" max="17"/>
    <col width="8.710000000000001" customWidth="1" style="27" min="18" max="26"/>
  </cols>
  <sheetData>
    <row r="1">
      <c r="A1" s="6" t="inlineStr">
        <is>
          <t>Headcount and Cost — Resource allocation grid</t>
        </is>
      </c>
    </row>
    <row r="2" ht="48" customHeight="1" s="27">
      <c r="A2" s="7" t="inlineStr">
        <is>
          <t>Purpose:</t>
        </is>
      </c>
      <c r="B2" s="28" t="inlineStr">
        <is>
          <t>The single source of truth for staffing. Each row is one resource with Role / Seniority / Location / Headcount / Allocation / Start &amp; End Week. Allocated Hours and Allocated Cost are computed; rate is looked up on the Rates tab. The right-hand 'Estimated vs Allocated' panel reconciles allocation against the discipline totals computed on Buffers.</t>
        </is>
      </c>
    </row>
    <row r="3" ht="48" customHeight="1" s="27">
      <c r="A3" s="7" t="inlineStr">
        <is>
          <t>How to use:</t>
        </is>
      </c>
      <c r="B3" s="28" t="inlineStr">
        <is>
          <t>(1) For each resource, COPY a sample row and modify. Multiple rows with the same Role are supported (e.g. 5 BE seniors + 3 BE mids). (2) Headcount = number of physical people. Allocation = % of full time (1.0 = 100%). FTE = Headcount * Allocation (computed). (3) Start Week / End Week define when the resource is on the project; Duration = End - Start + 1; Allocated Hours = Duration * FTE * 40. (4) Allocated Cost looks up rate via INDEX/MATCH on (Role, Seniority, Location); falls back to RefRate ($/h on Input Data) if no rate row matches. (5) The 'Delta Hours' column on the right shows over/under allocation per role. Aim to keep |Delta| small relative to Estimated.</t>
        </is>
      </c>
    </row>
    <row r="4" ht="30" customHeight="1" s="27">
      <c r="A4" s="7" t="inlineStr">
        <is>
          <t>Inputs:</t>
        </is>
      </c>
      <c r="B4" s="28" t="inlineStr">
        <is>
          <t>Per-resource Role/Seniority/Location/Headcount/Allocation/Start/End. Rates tab. Input Data RefRate fallback. Buffers Grand Total per role (Estimated Hours).</t>
        </is>
      </c>
    </row>
    <row r="5" ht="30" customHeight="1" s="27">
      <c r="A5" s="7" t="inlineStr">
        <is>
          <t>Outputs:</t>
        </is>
      </c>
      <c r="B5" s="28" t="inlineStr">
        <is>
          <t>Total Hours, Total Cost, Peak Headcount, Peak FTE, Duration Weeks. Per-row Allocated Cost feeds Monthly Cost Roll-out and Internal Cost &amp; Profitability.</t>
        </is>
      </c>
    </row>
    <row r="6" ht="30" customHeight="1" s="27">
      <c r="A6" s="7" t="inlineStr">
        <is>
          <t>Linked tabs:</t>
        </is>
      </c>
      <c r="B6" s="28" t="inlineStr">
        <is>
          <t>Rates (rate lookup). Buffers &amp; Non-Dev Activities (Estimated hours). Monthly Cost Roll-out. Internal Cost &amp; Profitability.</t>
        </is>
      </c>
    </row>
    <row r="7">
      <c r="A7" s="26" t="inlineStr">
        <is>
          <t>Project Summary</t>
        </is>
      </c>
      <c r="L7" s="17" t="inlineStr">
        <is>
          <t>Role</t>
        </is>
      </c>
      <c r="M7" s="17" t="inlineStr">
        <is>
          <t>Estimated Hours</t>
        </is>
      </c>
      <c r="N7" s="17" t="inlineStr">
        <is>
          <t>Allocated Hours</t>
        </is>
      </c>
      <c r="O7" s="17" t="inlineStr">
        <is>
          <t>Allocated FTE</t>
        </is>
      </c>
      <c r="P7" s="17" t="inlineStr">
        <is>
          <t>Delta Hours</t>
        </is>
      </c>
      <c r="Q7" s="17" t="inlineStr">
        <is>
          <t>Remaining FTE</t>
        </is>
      </c>
      <c r="R7" s="17" t="inlineStr">
        <is>
          <t>Remaining Weeks</t>
        </is>
      </c>
    </row>
    <row r="8">
      <c r="A8" s="14" t="inlineStr">
        <is>
          <t>Peak Headcount</t>
        </is>
      </c>
      <c r="B8" s="16">
        <f>SUM(B18:B218)</f>
        <v/>
      </c>
      <c r="L8" s="12" t="inlineStr">
        <is>
          <t>Back-End</t>
        </is>
      </c>
      <c r="M8" s="16">
        <f>IFERROR(VLOOKUP("Back-End",'Buffers &amp; Non-Dev Activities'!$A:$L,12,FALSE),0)</f>
        <v/>
      </c>
      <c r="N8" s="16">
        <f>SUMIF($A$18:$A$218,L8,$H$18:$H$218)</f>
        <v/>
      </c>
      <c r="O8" s="16">
        <f>SUMIF($A$18:$A$218,L8,$D$18:$D$218)</f>
        <v/>
      </c>
      <c r="P8" s="16">
        <f>N8-M8</f>
        <v/>
      </c>
      <c r="Q8" s="16">
        <f>IFERROR(MAX(0,(M8-N8)/40),0)</f>
        <v/>
      </c>
    </row>
    <row r="9">
      <c r="A9" s="14" t="inlineStr">
        <is>
          <t>Peak FTE</t>
        </is>
      </c>
      <c r="B9" s="16">
        <f>SUM(D18:D218)</f>
        <v/>
      </c>
      <c r="L9" s="12" t="inlineStr">
        <is>
          <t>Front-End</t>
        </is>
      </c>
      <c r="M9" s="16">
        <f>IFERROR(VLOOKUP("Front-End",'Buffers &amp; Non-Dev Activities'!$A:$L,12,FALSE),0)</f>
        <v/>
      </c>
      <c r="N9" s="16">
        <f>SUMIF($A$18:$A$218,L9,$H$18:$H$218)</f>
        <v/>
      </c>
      <c r="O9" s="16">
        <f>SUMIF($A$18:$A$218,L9,$D$18:$D$218)</f>
        <v/>
      </c>
      <c r="P9" s="16">
        <f>N9-M9</f>
        <v/>
      </c>
      <c r="Q9" s="16">
        <f>IFERROR(MAX(0,(M9-N9)/40),0)</f>
        <v/>
      </c>
    </row>
    <row r="10">
      <c r="A10" s="14" t="inlineStr">
        <is>
          <t>Duration Weeks</t>
        </is>
      </c>
      <c r="B10" s="16">
        <f>IFERROR(MAX(F18:F218)-MIN(E18:E218)+1,0)</f>
        <v/>
      </c>
      <c r="L10" s="12" t="inlineStr">
        <is>
          <t>Manual QA</t>
        </is>
      </c>
      <c r="M10" s="16">
        <f>IFERROR(VLOOKUP("Manual QA",'Buffers &amp; Non-Dev Activities'!$A:$L,12,FALSE),0)</f>
        <v/>
      </c>
      <c r="N10" s="16">
        <f>SUMIF($A$18:$A$218,L10,$H$18:$H$218)</f>
        <v/>
      </c>
      <c r="O10" s="16">
        <f>SUMIF($A$18:$A$218,L10,$D$18:$D$218)</f>
        <v/>
      </c>
      <c r="P10" s="16">
        <f>N10-M10</f>
        <v/>
      </c>
      <c r="Q10" s="16">
        <f>IFERROR(MAX(0,(M10-N10)/40),0)</f>
        <v/>
      </c>
    </row>
    <row r="11">
      <c r="A11" s="14" t="inlineStr">
        <is>
          <t>Total Hours</t>
        </is>
      </c>
      <c r="B11" s="16">
        <f>SUM(H18:H218)</f>
        <v/>
      </c>
      <c r="L11" s="12" t="inlineStr">
        <is>
          <t>AQA</t>
        </is>
      </c>
      <c r="M11" s="16">
        <f>IFERROR(VLOOKUP("AQA",'Buffers &amp; Non-Dev Activities'!$A:$L,12,FALSE),0)</f>
        <v/>
      </c>
      <c r="N11" s="16">
        <f>SUMIF($A$18:$A$218,L11,$H$18:$H$218)</f>
        <v/>
      </c>
      <c r="O11" s="16">
        <f>SUMIF($A$18:$A$218,L11,$D$18:$D$218)</f>
        <v/>
      </c>
      <c r="P11" s="16">
        <f>N11-M11</f>
        <v/>
      </c>
      <c r="Q11" s="16">
        <f>IFERROR(MAX(0,(M11-N11)/40),0)</f>
        <v/>
      </c>
    </row>
    <row r="12">
      <c r="A12" s="14" t="inlineStr">
        <is>
          <t>Total Cost</t>
        </is>
      </c>
      <c r="B12" s="16">
        <f>SUM(I18:I218)</f>
        <v/>
      </c>
      <c r="L12" s="12" t="inlineStr">
        <is>
          <t>BA</t>
        </is>
      </c>
      <c r="M12" s="16">
        <f>IFERROR(VLOOKUP("BA",'Buffers &amp; Non-Dev Activities'!$A:$L,12,FALSE),0)</f>
        <v/>
      </c>
      <c r="N12" s="16">
        <f>SUMIF($A$18:$A$218,L12,$H$18:$H$218)</f>
        <v/>
      </c>
      <c r="O12" s="16">
        <f>SUMIF($A$18:$A$218,L12,$D$18:$D$218)</f>
        <v/>
      </c>
      <c r="P12" s="16">
        <f>N12-M12</f>
        <v/>
      </c>
      <c r="Q12" s="16">
        <f>IFERROR(MAX(0,(M12-N12)/40),0)</f>
        <v/>
      </c>
    </row>
    <row r="13">
      <c r="A13" s="14" t="inlineStr">
        <is>
          <t>Avg Rate (blended)</t>
        </is>
      </c>
      <c r="B13" s="16">
        <f>IFERROR(B12/B11,RefRate)</f>
        <v/>
      </c>
      <c r="L13" s="12" t="inlineStr">
        <is>
          <t>Architecture (SA+SwA)</t>
        </is>
      </c>
      <c r="M13" s="16">
        <f>IFERROR(VLOOKUP("Architecture",'Buffers &amp; Non-Dev Activities'!$A:$L,12,FALSE),0)</f>
        <v/>
      </c>
      <c r="N13" s="16">
        <f>SUMIF($A$18:$A$218,L13,$H$18:$H$218)</f>
        <v/>
      </c>
      <c r="O13" s="16">
        <f>SUMIF($A$18:$A$218,L13,$D$18:$D$218)</f>
        <v/>
      </c>
      <c r="P13" s="16">
        <f>N13-M13</f>
        <v/>
      </c>
      <c r="Q13" s="16">
        <f>IFERROR(MAX(0,(M13-N13)/40),0)</f>
        <v/>
      </c>
    </row>
    <row r="14">
      <c r="L14" s="12" t="inlineStr">
        <is>
          <t>DevOps</t>
        </is>
      </c>
      <c r="M14" s="16">
        <f>IFERROR(VLOOKUP("DevOps",'Buffers &amp; Non-Dev Activities'!$A:$L,12,FALSE),0)</f>
        <v/>
      </c>
      <c r="N14" s="16">
        <f>SUMIF($A$18:$A$218,L14,$H$18:$H$218)</f>
        <v/>
      </c>
      <c r="O14" s="16">
        <f>SUMIF($A$18:$A$218,L14,$D$18:$D$218)</f>
        <v/>
      </c>
      <c r="P14" s="16">
        <f>N14-M14</f>
        <v/>
      </c>
      <c r="Q14" s="16">
        <f>IFERROR(MAX(0,(M14-N14)/40),0)</f>
        <v/>
      </c>
    </row>
    <row r="15">
      <c r="L15" s="12" t="inlineStr">
        <is>
          <t>PM</t>
        </is>
      </c>
      <c r="M15" s="16">
        <f>IFERROR(VLOOKUP("PM",'Buffers &amp; Non-Dev Activities'!$A:$L,12,FALSE),0)</f>
        <v/>
      </c>
      <c r="N15" s="16">
        <f>SUMIF($A$18:$A$218,L15,$H$18:$H$218)</f>
        <v/>
      </c>
      <c r="O15" s="16">
        <f>SUMIF($A$18:$A$218,L15,$D$18:$D$218)</f>
        <v/>
      </c>
      <c r="P15" s="16">
        <f>N15-M15</f>
        <v/>
      </c>
      <c r="Q15" s="16">
        <f>IFERROR(MAX(0,(M15-N15)/40),0)</f>
        <v/>
      </c>
    </row>
    <row r="16">
      <c r="A16" s="14" t="inlineStr">
        <is>
          <t>Resources (enter by copying a row, then edit)</t>
        </is>
      </c>
      <c r="L16" s="12" t="inlineStr">
        <is>
          <t>UI/UX</t>
        </is>
      </c>
      <c r="M16" s="16">
        <f>IFERROR(VLOOKUP("UI/UX",'Buffers &amp; Non-Dev Activities'!$A:$L,12,FALSE),0)</f>
        <v/>
      </c>
      <c r="N16" s="16">
        <f>SUMIF($A$18:$A$218,L16,$H$18:$H$218)</f>
        <v/>
      </c>
      <c r="O16" s="16">
        <f>SUMIF($A$18:$A$218,L16,$D$18:$D$218)</f>
        <v/>
      </c>
      <c r="P16" s="16">
        <f>N16-M16</f>
        <v/>
      </c>
      <c r="Q16" s="16">
        <f>IFERROR(MAX(0,(M16-N16)/40),0)</f>
        <v/>
      </c>
    </row>
    <row r="17">
      <c r="A17" s="17" t="inlineStr">
        <is>
          <t>Role</t>
        </is>
      </c>
      <c r="B17" s="17" t="inlineStr">
        <is>
          <t>Headcount</t>
        </is>
      </c>
      <c r="C17" s="17" t="inlineStr">
        <is>
          <t>Allocation</t>
        </is>
      </c>
      <c r="D17" s="17" t="inlineStr">
        <is>
          <t>FTE</t>
        </is>
      </c>
      <c r="E17" s="17" t="inlineStr">
        <is>
          <t>Start Week</t>
        </is>
      </c>
      <c r="F17" s="17" t="inlineStr">
        <is>
          <t>End Week</t>
        </is>
      </c>
      <c r="G17" s="17" t="inlineStr">
        <is>
          <t>Duration</t>
        </is>
      </c>
      <c r="H17" s="17" t="inlineStr">
        <is>
          <t>Allocated Hours</t>
        </is>
      </c>
      <c r="I17" s="17" t="inlineStr">
        <is>
          <t>Allocated Cost</t>
        </is>
      </c>
      <c r="J17" s="17" t="inlineStr">
        <is>
          <t>Seniority</t>
        </is>
      </c>
      <c r="K17" s="17" t="inlineStr">
        <is>
          <t>Location</t>
        </is>
      </c>
    </row>
    <row r="18">
      <c r="A18" s="15" t="inlineStr">
        <is>
          <t>Back-End</t>
        </is>
      </c>
      <c r="B18" s="15" t="n">
        <v>5</v>
      </c>
      <c r="C18" s="15" t="n">
        <v>1</v>
      </c>
      <c r="D18" s="16">
        <f>B18*C18</f>
        <v/>
      </c>
      <c r="E18" s="15" t="n">
        <v>1</v>
      </c>
      <c r="F18" s="15" t="n">
        <v>8</v>
      </c>
      <c r="G18" s="16">
        <f>F18-E18+1</f>
        <v/>
      </c>
      <c r="H18" s="16">
        <f>G18*D18*40</f>
        <v/>
      </c>
      <c r="I18" s="16">
        <f t="array" ref="I18">H18*IFERROR(INDEX(Rates!$D:$D,MATCH(1,(Rates!$A:$A=A18)*(Rates!$B:$B=J18)*(Rates!$C:$C=K18),0)),RefRate)</f>
        <v/>
      </c>
      <c r="J18" s="15" t="inlineStr">
        <is>
          <t>S1</t>
        </is>
      </c>
      <c r="K18" s="15" t="inlineStr">
        <is>
          <t>Poland</t>
        </is>
      </c>
    </row>
    <row r="19">
      <c r="A19" s="15" t="inlineStr">
        <is>
          <t>Back-End</t>
        </is>
      </c>
      <c r="B19" s="15" t="n">
        <v>3</v>
      </c>
      <c r="C19" s="15" t="n">
        <v>1</v>
      </c>
      <c r="D19" s="16">
        <f>B19*C19</f>
        <v/>
      </c>
      <c r="E19" s="15" t="n">
        <v>3</v>
      </c>
      <c r="F19" s="15" t="n">
        <v>8</v>
      </c>
      <c r="G19" s="16">
        <f>F19-E19+1</f>
        <v/>
      </c>
      <c r="H19" s="16">
        <f>G19*D19*40</f>
        <v/>
      </c>
      <c r="I19" s="16">
        <f t="array" ref="I19">H19*IFERROR(INDEX(Rates!$D:$D,MATCH(1,(Rates!$A:$A=A19)*(Rates!$B:$B=J19)*(Rates!$C:$C=K19),0)),RefRate)</f>
        <v/>
      </c>
      <c r="J19" s="15" t="inlineStr">
        <is>
          <t>M2</t>
        </is>
      </c>
      <c r="K19" s="15" t="inlineStr">
        <is>
          <t>Poland</t>
        </is>
      </c>
    </row>
    <row r="20">
      <c r="A20" s="15" t="inlineStr">
        <is>
          <t>Front-End Web</t>
        </is>
      </c>
      <c r="B20" s="15" t="n">
        <v>1</v>
      </c>
      <c r="C20" s="15" t="n">
        <v>1</v>
      </c>
      <c r="D20" s="16">
        <f>B20*C20</f>
        <v/>
      </c>
      <c r="E20" s="15" t="n">
        <v>1</v>
      </c>
      <c r="F20" s="15" t="n">
        <v>4</v>
      </c>
      <c r="G20" s="16">
        <f>F20-E20+1</f>
        <v/>
      </c>
      <c r="H20" s="16">
        <f>G20*D20*40</f>
        <v/>
      </c>
      <c r="I20" s="16">
        <f t="array" ref="I20">H20*IFERROR(INDEX(Rates!$D:$D,MATCH(1,(Rates!$A:$A=A20)*(Rates!$B:$B=J20)*(Rates!$C:$C=K20),0)),RefRate)</f>
        <v/>
      </c>
      <c r="J20" s="15" t="inlineStr">
        <is>
          <t>Lead</t>
        </is>
      </c>
      <c r="K20" s="15" t="inlineStr">
        <is>
          <t>Poland</t>
        </is>
      </c>
    </row>
    <row r="21" ht="15.75" customHeight="1" s="27">
      <c r="A21" s="15" t="inlineStr">
        <is>
          <t>Front-End Mobile</t>
        </is>
      </c>
      <c r="B21" s="15" t="n">
        <v>1</v>
      </c>
      <c r="C21" s="15" t="n">
        <v>1</v>
      </c>
      <c r="D21" s="16">
        <f>B21*C21</f>
        <v/>
      </c>
      <c r="E21" s="15" t="n">
        <v>1</v>
      </c>
      <c r="F21" s="15" t="n">
        <v>8</v>
      </c>
      <c r="G21" s="16">
        <f>F21-E21+1</f>
        <v/>
      </c>
      <c r="H21" s="16">
        <f>G21*D21*40</f>
        <v/>
      </c>
      <c r="I21" s="16">
        <f t="array" ref="I21">H21*IFERROR(INDEX(Rates!$D:$D,MATCH(1,(Rates!$A:$A=A21)*(Rates!$B:$B=J21)*(Rates!$C:$C=K21),0)),RefRate)</f>
        <v/>
      </c>
      <c r="J21" s="15" t="inlineStr">
        <is>
          <t>S1</t>
        </is>
      </c>
      <c r="K21" s="15" t="inlineStr">
        <is>
          <t>Poland</t>
        </is>
      </c>
    </row>
    <row r="22" ht="15.75" customHeight="1" s="27">
      <c r="A22" s="15" t="inlineStr">
        <is>
          <t>Manual QA</t>
        </is>
      </c>
      <c r="B22" s="15" t="n">
        <v>1</v>
      </c>
      <c r="C22" s="15" t="n">
        <v>1</v>
      </c>
      <c r="D22" s="16">
        <f>B22*C22</f>
        <v/>
      </c>
      <c r="E22" s="15" t="n">
        <v>1</v>
      </c>
      <c r="F22" s="15" t="n">
        <v>8</v>
      </c>
      <c r="G22" s="16">
        <f>F22-E22+1</f>
        <v/>
      </c>
      <c r="H22" s="16">
        <f>G22*D22*40</f>
        <v/>
      </c>
      <c r="I22" s="16">
        <f t="array" ref="I22">H22*IFERROR(INDEX(Rates!$D:$D,MATCH(1,(Rates!$A:$A=A22)*(Rates!$B:$B=J22)*(Rates!$C:$C=K22),0)),RefRate)</f>
        <v/>
      </c>
      <c r="J22" s="15" t="inlineStr">
        <is>
          <t>S1</t>
        </is>
      </c>
      <c r="K22" s="15" t="inlineStr">
        <is>
          <t>Poland</t>
        </is>
      </c>
    </row>
    <row r="23" ht="15.75" customHeight="1" s="27">
      <c r="A23" s="15" t="inlineStr">
        <is>
          <t>Manual QA</t>
        </is>
      </c>
      <c r="B23" s="15" t="n">
        <v>1</v>
      </c>
      <c r="C23" s="15" t="n">
        <v>0.5</v>
      </c>
      <c r="D23" s="16">
        <f>B23*C23</f>
        <v/>
      </c>
      <c r="E23" s="15" t="n">
        <v>1</v>
      </c>
      <c r="F23" s="15" t="n">
        <v>8</v>
      </c>
      <c r="G23" s="16">
        <f>F23-E23+1</f>
        <v/>
      </c>
      <c r="H23" s="16">
        <f>G23*D23*40</f>
        <v/>
      </c>
      <c r="I23" s="16">
        <f t="array" ref="I23">H23*IFERROR(INDEX(Rates!$D:$D,MATCH(1,(Rates!$A:$A=A23)*(Rates!$B:$B=J23)*(Rates!$C:$C=K23),0)),RefRate)</f>
        <v/>
      </c>
      <c r="J23" s="15" t="inlineStr">
        <is>
          <t>M1</t>
        </is>
      </c>
      <c r="K23" s="15" t="inlineStr">
        <is>
          <t>Poland</t>
        </is>
      </c>
    </row>
    <row r="24" ht="15.75" customHeight="1" s="27">
      <c r="A24" s="15" t="inlineStr">
        <is>
          <t>AQA</t>
        </is>
      </c>
      <c r="B24" s="15" t="n">
        <v>1</v>
      </c>
      <c r="C24" s="15" t="n">
        <v>0.5</v>
      </c>
      <c r="D24" s="16">
        <f>B24*C24</f>
        <v/>
      </c>
      <c r="E24" s="15" t="n">
        <v>1</v>
      </c>
      <c r="F24" s="15" t="n">
        <v>8</v>
      </c>
      <c r="G24" s="16">
        <f>F24-E24+1</f>
        <v/>
      </c>
      <c r="H24" s="16">
        <f>G24*D24*40</f>
        <v/>
      </c>
      <c r="I24" s="16">
        <f t="array" ref="I24">H24*IFERROR(INDEX(Rates!$D:$D,MATCH(1,(Rates!$A:$A=A24)*(Rates!$B:$B=J24)*(Rates!$C:$C=K24),0)),RefRate)</f>
        <v/>
      </c>
      <c r="J24" s="15" t="inlineStr">
        <is>
          <t>M2</t>
        </is>
      </c>
      <c r="K24" s="15" t="inlineStr">
        <is>
          <t>Poland</t>
        </is>
      </c>
    </row>
    <row r="25" ht="15.75" customHeight="1" s="27">
      <c r="A25" s="15" t="inlineStr">
        <is>
          <t>PM</t>
        </is>
      </c>
      <c r="B25" s="15" t="n">
        <v>1</v>
      </c>
      <c r="C25" s="15" t="n">
        <v>0.5</v>
      </c>
      <c r="D25" s="16">
        <f>B25*C25</f>
        <v/>
      </c>
      <c r="E25" s="15" t="n">
        <v>1</v>
      </c>
      <c r="F25" s="15" t="n">
        <v>8</v>
      </c>
      <c r="G25" s="16">
        <f>F25-E25+1</f>
        <v/>
      </c>
      <c r="H25" s="16">
        <f>G25*D25*40</f>
        <v/>
      </c>
      <c r="I25" s="16">
        <f t="array" ref="I25">H25*IFERROR(INDEX(Rates!$D:$D,MATCH(1,(Rates!$A:$A=A25)*(Rates!$B:$B=J25)*(Rates!$C:$C=K25),0)),RefRate)</f>
        <v/>
      </c>
      <c r="J25" s="15" t="inlineStr">
        <is>
          <t>M1</t>
        </is>
      </c>
      <c r="K25" s="15" t="inlineStr">
        <is>
          <t>Poland</t>
        </is>
      </c>
    </row>
    <row r="26" ht="15.75" customHeight="1" s="27">
      <c r="A26" s="15" t="inlineStr">
        <is>
          <t>BA</t>
        </is>
      </c>
      <c r="B26" s="15" t="n">
        <v>1</v>
      </c>
      <c r="C26" s="15" t="n">
        <v>0.5</v>
      </c>
      <c r="D26" s="16">
        <f>B26*C26</f>
        <v/>
      </c>
      <c r="E26" s="15" t="n">
        <v>1</v>
      </c>
      <c r="F26" s="15" t="n">
        <v>8</v>
      </c>
      <c r="G26" s="16">
        <f>F26-E26+1</f>
        <v/>
      </c>
      <c r="H26" s="16">
        <f>G26*D26*40</f>
        <v/>
      </c>
      <c r="I26" s="16">
        <f t="array" ref="I26">H26*IFERROR(INDEX(Rates!$D:$D,MATCH(1,(Rates!$A:$A=A26)*(Rates!$B:$B=J26)*(Rates!$C:$C=K26),0)),RefRate)</f>
        <v/>
      </c>
      <c r="J26" s="15" t="inlineStr">
        <is>
          <t>S1</t>
        </is>
      </c>
      <c r="K26" s="15" t="inlineStr">
        <is>
          <t>Poland</t>
        </is>
      </c>
    </row>
    <row r="27" ht="15.75" customHeight="1" s="27">
      <c r="A27" s="15" t="inlineStr">
        <is>
          <t>Solution Architect</t>
        </is>
      </c>
      <c r="B27" s="15" t="n">
        <v>1</v>
      </c>
      <c r="C27" s="15" t="n">
        <v>1</v>
      </c>
      <c r="D27" s="16">
        <f>B27*C27</f>
        <v/>
      </c>
      <c r="E27" s="15" t="n">
        <v>1</v>
      </c>
      <c r="F27" s="15" t="n">
        <v>8</v>
      </c>
      <c r="G27" s="16">
        <f>F27-E27+1</f>
        <v/>
      </c>
      <c r="H27" s="16">
        <f>G27*D27*40</f>
        <v/>
      </c>
      <c r="I27" s="16">
        <f t="array" ref="I27">H27*IFERROR(INDEX(Rates!$D:$D,MATCH(1,(Rates!$A:$A=A27)*(Rates!$B:$B=J27)*(Rates!$C:$C=K27),0)),RefRate)</f>
        <v/>
      </c>
      <c r="J27" s="15" t="inlineStr">
        <is>
          <t>S1</t>
        </is>
      </c>
      <c r="K27" s="15" t="inlineStr">
        <is>
          <t>Poland</t>
        </is>
      </c>
    </row>
    <row r="28" ht="15.75" customHeight="1" s="27">
      <c r="A28" s="15" t="inlineStr">
        <is>
          <t>UI/UX</t>
        </is>
      </c>
      <c r="B28" s="15" t="n">
        <v>1</v>
      </c>
      <c r="C28" s="15" t="n">
        <v>1</v>
      </c>
      <c r="D28" s="16">
        <f>B28*C28</f>
        <v/>
      </c>
      <c r="E28" s="15" t="n">
        <v>1</v>
      </c>
      <c r="F28" s="15" t="n">
        <v>3</v>
      </c>
      <c r="G28" s="16">
        <f>F28-E28+1</f>
        <v/>
      </c>
      <c r="H28" s="16">
        <f>G28*D28*40</f>
        <v/>
      </c>
      <c r="I28" s="16">
        <f t="array" ref="I28">H28*IFERROR(INDEX(Rates!$D:$D,MATCH(1,(Rates!$A:$A=A28)*(Rates!$B:$B=J28)*(Rates!$C:$C=K28),0)),RefRate)</f>
        <v/>
      </c>
      <c r="J28" s="15" t="inlineStr">
        <is>
          <t>M3</t>
        </is>
      </c>
      <c r="K28" s="15" t="inlineStr">
        <is>
          <t>Poland</t>
        </is>
      </c>
    </row>
    <row r="29" ht="15.75" customHeight="1" s="27">
      <c r="A29" s="15" t="inlineStr">
        <is>
          <t>DevOps</t>
        </is>
      </c>
      <c r="B29" s="15" t="n">
        <v>1</v>
      </c>
      <c r="C29" s="15" t="n">
        <v>1</v>
      </c>
      <c r="D29" s="16">
        <f>B29*C29</f>
        <v/>
      </c>
      <c r="E29" s="15" t="n">
        <v>1</v>
      </c>
      <c r="F29" s="15" t="n">
        <v>8</v>
      </c>
      <c r="G29" s="16">
        <f>F29-E29+1</f>
        <v/>
      </c>
      <c r="H29" s="16">
        <f>G29*D29*40</f>
        <v/>
      </c>
      <c r="I29" s="16">
        <f t="array" ref="I29">H29*IFERROR(INDEX(Rates!$D:$D,MATCH(1,(Rates!$A:$A=A29)*(Rates!$B:$B=J29)*(Rates!$C:$C=K29),0)),RefRate)</f>
        <v/>
      </c>
      <c r="J29" s="15" t="inlineStr">
        <is>
          <t>S1</t>
        </is>
      </c>
      <c r="K29" s="15" t="inlineStr">
        <is>
          <t>Poland</t>
        </is>
      </c>
    </row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Q4"/>
    <mergeCell ref="B6:Q6"/>
    <mergeCell ref="B2:Q2"/>
    <mergeCell ref="A1:Q1"/>
    <mergeCell ref="B3:Q3"/>
    <mergeCell ref="B5:Q5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7" min="1" max="1"/>
    <col width="14" customWidth="1" style="27" min="2" max="2"/>
    <col width="12" customWidth="1" style="27" min="3" max="20"/>
    <col width="8.710000000000001" customWidth="1" style="27" min="21" max="26"/>
  </cols>
  <sheetData>
    <row r="1">
      <c r="A1" s="6" t="inlineStr">
        <is>
          <t>Monthly Cost Roll-out</t>
        </is>
      </c>
    </row>
    <row r="2" ht="30" customHeight="1" s="27">
      <c r="A2" s="7" t="inlineStr">
        <is>
          <t>Purpose:</t>
        </is>
      </c>
      <c r="B2" s="28" t="inlineStr">
        <is>
          <t>Cash-flow / spend curve. Spreads each resource's Allocated Cost across calendar months proportional to the weeks of [Start Week, End Week] that fall in each month (month width = 4.33 weeks).</t>
        </is>
      </c>
    </row>
    <row r="3" ht="48" customHeight="1" s="27">
      <c r="A3" s="7" t="inlineStr">
        <is>
          <t>How to use:</t>
        </is>
      </c>
      <c r="B3" s="28" t="inlineStr">
        <is>
          <t>(1) The first 12 sample rows mirror the seeded resources on Headcount and Cost. (2) When you add resources there, copy a row here and update the row index in the 'Headcount and Cost' references. (3) The TOTAL row at the bottom gives spend per month — useful for cash-flow conversations and to validate the project duration.</t>
        </is>
      </c>
    </row>
    <row r="4" ht="30" customHeight="1" s="27">
      <c r="A4" s="7" t="inlineStr">
        <is>
          <t>Inputs:</t>
        </is>
      </c>
      <c r="B4" s="28" t="inlineStr">
        <is>
          <t>Allocated Cost, Start Week, End Week, Duration from Headcount and Cost.</t>
        </is>
      </c>
    </row>
    <row r="5" ht="30" customHeight="1" s="27">
      <c r="A5" s="7" t="inlineStr">
        <is>
          <t>Outputs:</t>
        </is>
      </c>
      <c r="B5" s="28" t="inlineStr">
        <is>
          <t>Per-resource and total spend by month (M1 .. M18).</t>
        </is>
      </c>
    </row>
    <row r="6" ht="30" customHeight="1" s="27">
      <c r="A6" s="7" t="inlineStr">
        <is>
          <t>Linked tabs:</t>
        </is>
      </c>
      <c r="B6" s="28" t="inlineStr">
        <is>
          <t>Headcount and Cost (single source of staffing &amp; cost).</t>
        </is>
      </c>
    </row>
    <row r="8">
      <c r="A8" s="17" t="inlineStr">
        <is>
          <t>Resource (from Headcount and Cost)</t>
        </is>
      </c>
      <c r="B8" s="17" t="inlineStr">
        <is>
          <t>Total Allocated, $</t>
        </is>
      </c>
      <c r="C8" s="17" t="inlineStr">
        <is>
          <t>M1</t>
        </is>
      </c>
      <c r="D8" s="17" t="inlineStr">
        <is>
          <t>M2</t>
        </is>
      </c>
      <c r="E8" s="17" t="inlineStr">
        <is>
          <t>M3</t>
        </is>
      </c>
      <c r="F8" s="17" t="inlineStr">
        <is>
          <t>M4</t>
        </is>
      </c>
      <c r="G8" s="17" t="inlineStr">
        <is>
          <t>M5</t>
        </is>
      </c>
      <c r="H8" s="17" t="inlineStr">
        <is>
          <t>M6</t>
        </is>
      </c>
      <c r="I8" s="17" t="inlineStr">
        <is>
          <t>M7</t>
        </is>
      </c>
      <c r="J8" s="17" t="inlineStr">
        <is>
          <t>M8</t>
        </is>
      </c>
      <c r="K8" s="17" t="inlineStr">
        <is>
          <t>M9</t>
        </is>
      </c>
      <c r="L8" s="17" t="inlineStr">
        <is>
          <t>M10</t>
        </is>
      </c>
      <c r="M8" s="17" t="inlineStr">
        <is>
          <t>M11</t>
        </is>
      </c>
      <c r="N8" s="17" t="inlineStr">
        <is>
          <t>M12</t>
        </is>
      </c>
      <c r="O8" s="17" t="inlineStr">
        <is>
          <t>M13</t>
        </is>
      </c>
      <c r="P8" s="17" t="inlineStr">
        <is>
          <t>M14</t>
        </is>
      </c>
      <c r="Q8" s="17" t="inlineStr">
        <is>
          <t>M15</t>
        </is>
      </c>
      <c r="R8" s="17" t="inlineStr">
        <is>
          <t>M16</t>
        </is>
      </c>
      <c r="S8" s="17" t="inlineStr">
        <is>
          <t>M17</t>
        </is>
      </c>
      <c r="T8" s="17" t="inlineStr">
        <is>
          <t>M18</t>
        </is>
      </c>
    </row>
    <row r="9">
      <c r="A9" s="12">
        <f>IF('Headcount and Cost'!A18="","",'Headcount and Cost'!A18&amp;" - "&amp;'Headcount and Cost'!J18)</f>
        <v/>
      </c>
      <c r="B9" s="16">
        <f>'Headcount and Cost'!I18</f>
        <v/>
      </c>
      <c r="C9" s="16">
        <f>MAX(0,MIN('Headcount and Cost'!F18,4.33)-MAX('Headcount and Cost'!E18-1,0))*IFERROR('Headcount and Cost'!I18/('Headcount and Cost'!G18),0)</f>
        <v/>
      </c>
      <c r="D9" s="16">
        <f>MAX(0,MIN('Headcount and Cost'!F18,8.66)-MAX('Headcount and Cost'!E18-1,4.33))*IFERROR('Headcount and Cost'!I18/('Headcount and Cost'!G18),0)</f>
        <v/>
      </c>
      <c r="E9" s="16">
        <f>MAX(0,MIN('Headcount and Cost'!F18,12.99)-MAX('Headcount and Cost'!E18-1,8.66))*IFERROR('Headcount and Cost'!I18/('Headcount and Cost'!G18),0)</f>
        <v/>
      </c>
      <c r="F9" s="16">
        <f>MAX(0,MIN('Headcount and Cost'!F18,17.32)-MAX('Headcount and Cost'!E18-1,12.99))*IFERROR('Headcount and Cost'!I18/('Headcount and Cost'!G18),0)</f>
        <v/>
      </c>
      <c r="G9" s="16">
        <f>MAX(0,MIN('Headcount and Cost'!F18,21.65)-MAX('Headcount and Cost'!E18-1,17.32))*IFERROR('Headcount and Cost'!I18/('Headcount and Cost'!G18),0)</f>
        <v/>
      </c>
      <c r="H9" s="16">
        <f>MAX(0,MIN('Headcount and Cost'!F18,25.98)-MAX('Headcount and Cost'!E18-1,21.65))*IFERROR('Headcount and Cost'!I18/('Headcount and Cost'!G18),0)</f>
        <v/>
      </c>
      <c r="I9" s="16">
        <f>MAX(0,MIN('Headcount and Cost'!F18,30.31)-MAX('Headcount and Cost'!E18-1,25.98))*IFERROR('Headcount and Cost'!I18/('Headcount and Cost'!G18),0)</f>
        <v/>
      </c>
      <c r="J9" s="16">
        <f>MAX(0,MIN('Headcount and Cost'!F18,34.64)-MAX('Headcount and Cost'!E18-1,30.31))*IFERROR('Headcount and Cost'!I18/('Headcount and Cost'!G18),0)</f>
        <v/>
      </c>
      <c r="K9" s="16">
        <f>MAX(0,MIN('Headcount and Cost'!F18,38.97)-MAX('Headcount and Cost'!E18-1,34.64))*IFERROR('Headcount and Cost'!I18/('Headcount and Cost'!G18),0)</f>
        <v/>
      </c>
      <c r="L9" s="16">
        <f>MAX(0,MIN('Headcount and Cost'!F18,43.3)-MAX('Headcount and Cost'!E18-1,38.97))*IFERROR('Headcount and Cost'!I18/('Headcount and Cost'!G18),0)</f>
        <v/>
      </c>
      <c r="M9" s="16">
        <f>MAX(0,MIN('Headcount and Cost'!F18,47.63)-MAX('Headcount and Cost'!E18-1,43.3))*IFERROR('Headcount and Cost'!I18/('Headcount and Cost'!G18),0)</f>
        <v/>
      </c>
      <c r="N9" s="16">
        <f>MAX(0,MIN('Headcount and Cost'!F18,51.96)-MAX('Headcount and Cost'!E18-1,47.63))*IFERROR('Headcount and Cost'!I18/('Headcount and Cost'!G18),0)</f>
        <v/>
      </c>
      <c r="O9" s="16">
        <f>MAX(0,MIN('Headcount and Cost'!F18,56.29)-MAX('Headcount and Cost'!E18-1,51.96))*IFERROR('Headcount and Cost'!I18/('Headcount and Cost'!G18),0)</f>
        <v/>
      </c>
      <c r="P9" s="16">
        <f>MAX(0,MIN('Headcount and Cost'!F18,60.62)-MAX('Headcount and Cost'!E18-1,56.29))*IFERROR('Headcount and Cost'!I18/('Headcount and Cost'!G18),0)</f>
        <v/>
      </c>
      <c r="Q9" s="16">
        <f>MAX(0,MIN('Headcount and Cost'!F18,64.95)-MAX('Headcount and Cost'!E18-1,60.62))*IFERROR('Headcount and Cost'!I18/('Headcount and Cost'!G18),0)</f>
        <v/>
      </c>
      <c r="R9" s="16">
        <f>MAX(0,MIN('Headcount and Cost'!F18,69.28)-MAX('Headcount and Cost'!E18-1,64.95))*IFERROR('Headcount and Cost'!I18/('Headcount and Cost'!G18),0)</f>
        <v/>
      </c>
      <c r="S9" s="16">
        <f>MAX(0,MIN('Headcount and Cost'!F18,73.61)-MAX('Headcount and Cost'!E18-1,69.28))*IFERROR('Headcount and Cost'!I18/('Headcount and Cost'!G18),0)</f>
        <v/>
      </c>
      <c r="T9" s="16">
        <f>MAX(0,MIN('Headcount and Cost'!F18,77.94)-MAX('Headcount and Cost'!E18-1,73.61))*IFERROR('Headcount and Cost'!I18/('Headcount and Cost'!G18),0)</f>
        <v/>
      </c>
    </row>
    <row r="10">
      <c r="A10" s="12">
        <f>IF('Headcount and Cost'!A19="","",'Headcount and Cost'!A19&amp;" - "&amp;'Headcount and Cost'!J19)</f>
        <v/>
      </c>
      <c r="B10" s="16">
        <f>'Headcount and Cost'!I19</f>
        <v/>
      </c>
      <c r="C10" s="16">
        <f>MAX(0,MIN('Headcount and Cost'!F19,4.33)-MAX('Headcount and Cost'!E19-1,0))*IFERROR('Headcount and Cost'!I19/('Headcount and Cost'!G19),0)</f>
        <v/>
      </c>
      <c r="D10" s="16">
        <f>MAX(0,MIN('Headcount and Cost'!F19,8.66)-MAX('Headcount and Cost'!E19-1,4.33))*IFERROR('Headcount and Cost'!I19/('Headcount and Cost'!G19),0)</f>
        <v/>
      </c>
      <c r="E10" s="16">
        <f>MAX(0,MIN('Headcount and Cost'!F19,12.99)-MAX('Headcount and Cost'!E19-1,8.66))*IFERROR('Headcount and Cost'!I19/('Headcount and Cost'!G19),0)</f>
        <v/>
      </c>
      <c r="F10" s="16">
        <f>MAX(0,MIN('Headcount and Cost'!F19,17.32)-MAX('Headcount and Cost'!E19-1,12.99))*IFERROR('Headcount and Cost'!I19/('Headcount and Cost'!G19),0)</f>
        <v/>
      </c>
      <c r="G10" s="16">
        <f>MAX(0,MIN('Headcount and Cost'!F19,21.65)-MAX('Headcount and Cost'!E19-1,17.32))*IFERROR('Headcount and Cost'!I19/('Headcount and Cost'!G19),0)</f>
        <v/>
      </c>
      <c r="H10" s="16">
        <f>MAX(0,MIN('Headcount and Cost'!F19,25.98)-MAX('Headcount and Cost'!E19-1,21.65))*IFERROR('Headcount and Cost'!I19/('Headcount and Cost'!G19),0)</f>
        <v/>
      </c>
      <c r="I10" s="16">
        <f>MAX(0,MIN('Headcount and Cost'!F19,30.31)-MAX('Headcount and Cost'!E19-1,25.98))*IFERROR('Headcount and Cost'!I19/('Headcount and Cost'!G19),0)</f>
        <v/>
      </c>
      <c r="J10" s="16">
        <f>MAX(0,MIN('Headcount and Cost'!F19,34.64)-MAX('Headcount and Cost'!E19-1,30.31))*IFERROR('Headcount and Cost'!I19/('Headcount and Cost'!G19),0)</f>
        <v/>
      </c>
      <c r="K10" s="16">
        <f>MAX(0,MIN('Headcount and Cost'!F19,38.97)-MAX('Headcount and Cost'!E19-1,34.64))*IFERROR('Headcount and Cost'!I19/('Headcount and Cost'!G19),0)</f>
        <v/>
      </c>
      <c r="L10" s="16">
        <f>MAX(0,MIN('Headcount and Cost'!F19,43.3)-MAX('Headcount and Cost'!E19-1,38.97))*IFERROR('Headcount and Cost'!I19/('Headcount and Cost'!G19),0)</f>
        <v/>
      </c>
      <c r="M10" s="16">
        <f>MAX(0,MIN('Headcount and Cost'!F19,47.63)-MAX('Headcount and Cost'!E19-1,43.3))*IFERROR('Headcount and Cost'!I19/('Headcount and Cost'!G19),0)</f>
        <v/>
      </c>
      <c r="N10" s="16">
        <f>MAX(0,MIN('Headcount and Cost'!F19,51.96)-MAX('Headcount and Cost'!E19-1,47.63))*IFERROR('Headcount and Cost'!I19/('Headcount and Cost'!G19),0)</f>
        <v/>
      </c>
      <c r="O10" s="16">
        <f>MAX(0,MIN('Headcount and Cost'!F19,56.29)-MAX('Headcount and Cost'!E19-1,51.96))*IFERROR('Headcount and Cost'!I19/('Headcount and Cost'!G19),0)</f>
        <v/>
      </c>
      <c r="P10" s="16">
        <f>MAX(0,MIN('Headcount and Cost'!F19,60.62)-MAX('Headcount and Cost'!E19-1,56.29))*IFERROR('Headcount and Cost'!I19/('Headcount and Cost'!G19),0)</f>
        <v/>
      </c>
      <c r="Q10" s="16">
        <f>MAX(0,MIN('Headcount and Cost'!F19,64.95)-MAX('Headcount and Cost'!E19-1,60.62))*IFERROR('Headcount and Cost'!I19/('Headcount and Cost'!G19),0)</f>
        <v/>
      </c>
      <c r="R10" s="16">
        <f>MAX(0,MIN('Headcount and Cost'!F19,69.28)-MAX('Headcount and Cost'!E19-1,64.95))*IFERROR('Headcount and Cost'!I19/('Headcount and Cost'!G19),0)</f>
        <v/>
      </c>
      <c r="S10" s="16">
        <f>MAX(0,MIN('Headcount and Cost'!F19,73.61)-MAX('Headcount and Cost'!E19-1,69.28))*IFERROR('Headcount and Cost'!I19/('Headcount and Cost'!G19),0)</f>
        <v/>
      </c>
      <c r="T10" s="16">
        <f>MAX(0,MIN('Headcount and Cost'!F19,77.94)-MAX('Headcount and Cost'!E19-1,73.61))*IFERROR('Headcount and Cost'!I19/('Headcount and Cost'!G19),0)</f>
        <v/>
      </c>
    </row>
    <row r="11">
      <c r="A11" s="12">
        <f>IF('Headcount and Cost'!A20="","",'Headcount and Cost'!A20&amp;" - "&amp;'Headcount and Cost'!J20)</f>
        <v/>
      </c>
      <c r="B11" s="16">
        <f>'Headcount and Cost'!I20</f>
        <v/>
      </c>
      <c r="C11" s="16">
        <f>MAX(0,MIN('Headcount and Cost'!F20,4.33)-MAX('Headcount and Cost'!E20-1,0))*IFERROR('Headcount and Cost'!I20/('Headcount and Cost'!G20),0)</f>
        <v/>
      </c>
      <c r="D11" s="16">
        <f>MAX(0,MIN('Headcount and Cost'!F20,8.66)-MAX('Headcount and Cost'!E20-1,4.33))*IFERROR('Headcount and Cost'!I20/('Headcount and Cost'!G20),0)</f>
        <v/>
      </c>
      <c r="E11" s="16">
        <f>MAX(0,MIN('Headcount and Cost'!F20,12.99)-MAX('Headcount and Cost'!E20-1,8.66))*IFERROR('Headcount and Cost'!I20/('Headcount and Cost'!G20),0)</f>
        <v/>
      </c>
      <c r="F11" s="16">
        <f>MAX(0,MIN('Headcount and Cost'!F20,17.32)-MAX('Headcount and Cost'!E20-1,12.99))*IFERROR('Headcount and Cost'!I20/('Headcount and Cost'!G20),0)</f>
        <v/>
      </c>
      <c r="G11" s="16">
        <f>MAX(0,MIN('Headcount and Cost'!F20,21.65)-MAX('Headcount and Cost'!E20-1,17.32))*IFERROR('Headcount and Cost'!I20/('Headcount and Cost'!G20),0)</f>
        <v/>
      </c>
      <c r="H11" s="16">
        <f>MAX(0,MIN('Headcount and Cost'!F20,25.98)-MAX('Headcount and Cost'!E20-1,21.65))*IFERROR('Headcount and Cost'!I20/('Headcount and Cost'!G20),0)</f>
        <v/>
      </c>
      <c r="I11" s="16">
        <f>MAX(0,MIN('Headcount and Cost'!F20,30.31)-MAX('Headcount and Cost'!E20-1,25.98))*IFERROR('Headcount and Cost'!I20/('Headcount and Cost'!G20),0)</f>
        <v/>
      </c>
      <c r="J11" s="16">
        <f>MAX(0,MIN('Headcount and Cost'!F20,34.64)-MAX('Headcount and Cost'!E20-1,30.31))*IFERROR('Headcount and Cost'!I20/('Headcount and Cost'!G20),0)</f>
        <v/>
      </c>
      <c r="K11" s="16">
        <f>MAX(0,MIN('Headcount and Cost'!F20,38.97)-MAX('Headcount and Cost'!E20-1,34.64))*IFERROR('Headcount and Cost'!I20/('Headcount and Cost'!G20),0)</f>
        <v/>
      </c>
      <c r="L11" s="16">
        <f>MAX(0,MIN('Headcount and Cost'!F20,43.3)-MAX('Headcount and Cost'!E20-1,38.97))*IFERROR('Headcount and Cost'!I20/('Headcount and Cost'!G20),0)</f>
        <v/>
      </c>
      <c r="M11" s="16">
        <f>MAX(0,MIN('Headcount and Cost'!F20,47.63)-MAX('Headcount and Cost'!E20-1,43.3))*IFERROR('Headcount and Cost'!I20/('Headcount and Cost'!G20),0)</f>
        <v/>
      </c>
      <c r="N11" s="16">
        <f>MAX(0,MIN('Headcount and Cost'!F20,51.96)-MAX('Headcount and Cost'!E20-1,47.63))*IFERROR('Headcount and Cost'!I20/('Headcount and Cost'!G20),0)</f>
        <v/>
      </c>
      <c r="O11" s="16">
        <f>MAX(0,MIN('Headcount and Cost'!F20,56.29)-MAX('Headcount and Cost'!E20-1,51.96))*IFERROR('Headcount and Cost'!I20/('Headcount and Cost'!G20),0)</f>
        <v/>
      </c>
      <c r="P11" s="16">
        <f>MAX(0,MIN('Headcount and Cost'!F20,60.62)-MAX('Headcount and Cost'!E20-1,56.29))*IFERROR('Headcount and Cost'!I20/('Headcount and Cost'!G20),0)</f>
        <v/>
      </c>
      <c r="Q11" s="16">
        <f>MAX(0,MIN('Headcount and Cost'!F20,64.95)-MAX('Headcount and Cost'!E20-1,60.62))*IFERROR('Headcount and Cost'!I20/('Headcount and Cost'!G20),0)</f>
        <v/>
      </c>
      <c r="R11" s="16">
        <f>MAX(0,MIN('Headcount and Cost'!F20,69.28)-MAX('Headcount and Cost'!E20-1,64.95))*IFERROR('Headcount and Cost'!I20/('Headcount and Cost'!G20),0)</f>
        <v/>
      </c>
      <c r="S11" s="16">
        <f>MAX(0,MIN('Headcount and Cost'!F20,73.61)-MAX('Headcount and Cost'!E20-1,69.28))*IFERROR('Headcount and Cost'!I20/('Headcount and Cost'!G20),0)</f>
        <v/>
      </c>
      <c r="T11" s="16">
        <f>MAX(0,MIN('Headcount and Cost'!F20,77.94)-MAX('Headcount and Cost'!E20-1,73.61))*IFERROR('Headcount and Cost'!I20/('Headcount and Cost'!G20),0)</f>
        <v/>
      </c>
    </row>
    <row r="12">
      <c r="A12" s="12">
        <f>IF('Headcount and Cost'!A21="","",'Headcount and Cost'!A21&amp;" - "&amp;'Headcount and Cost'!J21)</f>
        <v/>
      </c>
      <c r="B12" s="16">
        <f>'Headcount and Cost'!I21</f>
        <v/>
      </c>
      <c r="C12" s="16">
        <f>MAX(0,MIN('Headcount and Cost'!F21,4.33)-MAX('Headcount and Cost'!E21-1,0))*IFERROR('Headcount and Cost'!I21/('Headcount and Cost'!G21),0)</f>
        <v/>
      </c>
      <c r="D12" s="16">
        <f>MAX(0,MIN('Headcount and Cost'!F21,8.66)-MAX('Headcount and Cost'!E21-1,4.33))*IFERROR('Headcount and Cost'!I21/('Headcount and Cost'!G21),0)</f>
        <v/>
      </c>
      <c r="E12" s="16">
        <f>MAX(0,MIN('Headcount and Cost'!F21,12.99)-MAX('Headcount and Cost'!E21-1,8.66))*IFERROR('Headcount and Cost'!I21/('Headcount and Cost'!G21),0)</f>
        <v/>
      </c>
      <c r="F12" s="16">
        <f>MAX(0,MIN('Headcount and Cost'!F21,17.32)-MAX('Headcount and Cost'!E21-1,12.99))*IFERROR('Headcount and Cost'!I21/('Headcount and Cost'!G21),0)</f>
        <v/>
      </c>
      <c r="G12" s="16">
        <f>MAX(0,MIN('Headcount and Cost'!F21,21.65)-MAX('Headcount and Cost'!E21-1,17.32))*IFERROR('Headcount and Cost'!I21/('Headcount and Cost'!G21),0)</f>
        <v/>
      </c>
      <c r="H12" s="16">
        <f>MAX(0,MIN('Headcount and Cost'!F21,25.98)-MAX('Headcount and Cost'!E21-1,21.65))*IFERROR('Headcount and Cost'!I21/('Headcount and Cost'!G21),0)</f>
        <v/>
      </c>
      <c r="I12" s="16">
        <f>MAX(0,MIN('Headcount and Cost'!F21,30.31)-MAX('Headcount and Cost'!E21-1,25.98))*IFERROR('Headcount and Cost'!I21/('Headcount and Cost'!G21),0)</f>
        <v/>
      </c>
      <c r="J12" s="16">
        <f>MAX(0,MIN('Headcount and Cost'!F21,34.64)-MAX('Headcount and Cost'!E21-1,30.31))*IFERROR('Headcount and Cost'!I21/('Headcount and Cost'!G21),0)</f>
        <v/>
      </c>
      <c r="K12" s="16">
        <f>MAX(0,MIN('Headcount and Cost'!F21,38.97)-MAX('Headcount and Cost'!E21-1,34.64))*IFERROR('Headcount and Cost'!I21/('Headcount and Cost'!G21),0)</f>
        <v/>
      </c>
      <c r="L12" s="16">
        <f>MAX(0,MIN('Headcount and Cost'!F21,43.3)-MAX('Headcount and Cost'!E21-1,38.97))*IFERROR('Headcount and Cost'!I21/('Headcount and Cost'!G21),0)</f>
        <v/>
      </c>
      <c r="M12" s="16">
        <f>MAX(0,MIN('Headcount and Cost'!F21,47.63)-MAX('Headcount and Cost'!E21-1,43.3))*IFERROR('Headcount and Cost'!I21/('Headcount and Cost'!G21),0)</f>
        <v/>
      </c>
      <c r="N12" s="16">
        <f>MAX(0,MIN('Headcount and Cost'!F21,51.96)-MAX('Headcount and Cost'!E21-1,47.63))*IFERROR('Headcount and Cost'!I21/('Headcount and Cost'!G21),0)</f>
        <v/>
      </c>
      <c r="O12" s="16">
        <f>MAX(0,MIN('Headcount and Cost'!F21,56.29)-MAX('Headcount and Cost'!E21-1,51.96))*IFERROR('Headcount and Cost'!I21/('Headcount and Cost'!G21),0)</f>
        <v/>
      </c>
      <c r="P12" s="16">
        <f>MAX(0,MIN('Headcount and Cost'!F21,60.62)-MAX('Headcount and Cost'!E21-1,56.29))*IFERROR('Headcount and Cost'!I21/('Headcount and Cost'!G21),0)</f>
        <v/>
      </c>
      <c r="Q12" s="16">
        <f>MAX(0,MIN('Headcount and Cost'!F21,64.95)-MAX('Headcount and Cost'!E21-1,60.62))*IFERROR('Headcount and Cost'!I21/('Headcount and Cost'!G21),0)</f>
        <v/>
      </c>
      <c r="R12" s="16">
        <f>MAX(0,MIN('Headcount and Cost'!F21,69.28)-MAX('Headcount and Cost'!E21-1,64.95))*IFERROR('Headcount and Cost'!I21/('Headcount and Cost'!G21),0)</f>
        <v/>
      </c>
      <c r="S12" s="16">
        <f>MAX(0,MIN('Headcount and Cost'!F21,73.61)-MAX('Headcount and Cost'!E21-1,69.28))*IFERROR('Headcount and Cost'!I21/('Headcount and Cost'!G21),0)</f>
        <v/>
      </c>
      <c r="T12" s="16">
        <f>MAX(0,MIN('Headcount and Cost'!F21,77.94)-MAX('Headcount and Cost'!E21-1,73.61))*IFERROR('Headcount and Cost'!I21/('Headcount and Cost'!G21),0)</f>
        <v/>
      </c>
    </row>
    <row r="13">
      <c r="A13" s="12">
        <f>IF('Headcount and Cost'!A22="","",'Headcount and Cost'!A22&amp;" - "&amp;'Headcount and Cost'!J22)</f>
        <v/>
      </c>
      <c r="B13" s="16">
        <f>'Headcount and Cost'!I22</f>
        <v/>
      </c>
      <c r="C13" s="16">
        <f>MAX(0,MIN('Headcount and Cost'!F22,4.33)-MAX('Headcount and Cost'!E22-1,0))*IFERROR('Headcount and Cost'!I22/('Headcount and Cost'!G22),0)</f>
        <v/>
      </c>
      <c r="D13" s="16">
        <f>MAX(0,MIN('Headcount and Cost'!F22,8.66)-MAX('Headcount and Cost'!E22-1,4.33))*IFERROR('Headcount and Cost'!I22/('Headcount and Cost'!G22),0)</f>
        <v/>
      </c>
      <c r="E13" s="16">
        <f>MAX(0,MIN('Headcount and Cost'!F22,12.99)-MAX('Headcount and Cost'!E22-1,8.66))*IFERROR('Headcount and Cost'!I22/('Headcount and Cost'!G22),0)</f>
        <v/>
      </c>
      <c r="F13" s="16">
        <f>MAX(0,MIN('Headcount and Cost'!F22,17.32)-MAX('Headcount and Cost'!E22-1,12.99))*IFERROR('Headcount and Cost'!I22/('Headcount and Cost'!G22),0)</f>
        <v/>
      </c>
      <c r="G13" s="16">
        <f>MAX(0,MIN('Headcount and Cost'!F22,21.65)-MAX('Headcount and Cost'!E22-1,17.32))*IFERROR('Headcount and Cost'!I22/('Headcount and Cost'!G22),0)</f>
        <v/>
      </c>
      <c r="H13" s="16">
        <f>MAX(0,MIN('Headcount and Cost'!F22,25.98)-MAX('Headcount and Cost'!E22-1,21.65))*IFERROR('Headcount and Cost'!I22/('Headcount and Cost'!G22),0)</f>
        <v/>
      </c>
      <c r="I13" s="16">
        <f>MAX(0,MIN('Headcount and Cost'!F22,30.31)-MAX('Headcount and Cost'!E22-1,25.98))*IFERROR('Headcount and Cost'!I22/('Headcount and Cost'!G22),0)</f>
        <v/>
      </c>
      <c r="J13" s="16">
        <f>MAX(0,MIN('Headcount and Cost'!F22,34.64)-MAX('Headcount and Cost'!E22-1,30.31))*IFERROR('Headcount and Cost'!I22/('Headcount and Cost'!G22),0)</f>
        <v/>
      </c>
      <c r="K13" s="16">
        <f>MAX(0,MIN('Headcount and Cost'!F22,38.97)-MAX('Headcount and Cost'!E22-1,34.64))*IFERROR('Headcount and Cost'!I22/('Headcount and Cost'!G22),0)</f>
        <v/>
      </c>
      <c r="L13" s="16">
        <f>MAX(0,MIN('Headcount and Cost'!F22,43.3)-MAX('Headcount and Cost'!E22-1,38.97))*IFERROR('Headcount and Cost'!I22/('Headcount and Cost'!G22),0)</f>
        <v/>
      </c>
      <c r="M13" s="16">
        <f>MAX(0,MIN('Headcount and Cost'!F22,47.63)-MAX('Headcount and Cost'!E22-1,43.3))*IFERROR('Headcount and Cost'!I22/('Headcount and Cost'!G22),0)</f>
        <v/>
      </c>
      <c r="N13" s="16">
        <f>MAX(0,MIN('Headcount and Cost'!F22,51.96)-MAX('Headcount and Cost'!E22-1,47.63))*IFERROR('Headcount and Cost'!I22/('Headcount and Cost'!G22),0)</f>
        <v/>
      </c>
      <c r="O13" s="16">
        <f>MAX(0,MIN('Headcount and Cost'!F22,56.29)-MAX('Headcount and Cost'!E22-1,51.96))*IFERROR('Headcount and Cost'!I22/('Headcount and Cost'!G22),0)</f>
        <v/>
      </c>
      <c r="P13" s="16">
        <f>MAX(0,MIN('Headcount and Cost'!F22,60.62)-MAX('Headcount and Cost'!E22-1,56.29))*IFERROR('Headcount and Cost'!I22/('Headcount and Cost'!G22),0)</f>
        <v/>
      </c>
      <c r="Q13" s="16">
        <f>MAX(0,MIN('Headcount and Cost'!F22,64.95)-MAX('Headcount and Cost'!E22-1,60.62))*IFERROR('Headcount and Cost'!I22/('Headcount and Cost'!G22),0)</f>
        <v/>
      </c>
      <c r="R13" s="16">
        <f>MAX(0,MIN('Headcount and Cost'!F22,69.28)-MAX('Headcount and Cost'!E22-1,64.95))*IFERROR('Headcount and Cost'!I22/('Headcount and Cost'!G22),0)</f>
        <v/>
      </c>
      <c r="S13" s="16">
        <f>MAX(0,MIN('Headcount and Cost'!F22,73.61)-MAX('Headcount and Cost'!E22-1,69.28))*IFERROR('Headcount and Cost'!I22/('Headcount and Cost'!G22),0)</f>
        <v/>
      </c>
      <c r="T13" s="16">
        <f>MAX(0,MIN('Headcount and Cost'!F22,77.94)-MAX('Headcount and Cost'!E22-1,73.61))*IFERROR('Headcount and Cost'!I22/('Headcount and Cost'!G22),0)</f>
        <v/>
      </c>
    </row>
    <row r="14">
      <c r="A14" s="12">
        <f>IF('Headcount and Cost'!A23="","",'Headcount and Cost'!A23&amp;" - "&amp;'Headcount and Cost'!J23)</f>
        <v/>
      </c>
      <c r="B14" s="16">
        <f>'Headcount and Cost'!I23</f>
        <v/>
      </c>
      <c r="C14" s="16">
        <f>MAX(0,MIN('Headcount and Cost'!F23,4.33)-MAX('Headcount and Cost'!E23-1,0))*IFERROR('Headcount and Cost'!I23/('Headcount and Cost'!G23),0)</f>
        <v/>
      </c>
      <c r="D14" s="16">
        <f>MAX(0,MIN('Headcount and Cost'!F23,8.66)-MAX('Headcount and Cost'!E23-1,4.33))*IFERROR('Headcount and Cost'!I23/('Headcount and Cost'!G23),0)</f>
        <v/>
      </c>
      <c r="E14" s="16">
        <f>MAX(0,MIN('Headcount and Cost'!F23,12.99)-MAX('Headcount and Cost'!E23-1,8.66))*IFERROR('Headcount and Cost'!I23/('Headcount and Cost'!G23),0)</f>
        <v/>
      </c>
      <c r="F14" s="16">
        <f>MAX(0,MIN('Headcount and Cost'!F23,17.32)-MAX('Headcount and Cost'!E23-1,12.99))*IFERROR('Headcount and Cost'!I23/('Headcount and Cost'!G23),0)</f>
        <v/>
      </c>
      <c r="G14" s="16">
        <f>MAX(0,MIN('Headcount and Cost'!F23,21.65)-MAX('Headcount and Cost'!E23-1,17.32))*IFERROR('Headcount and Cost'!I23/('Headcount and Cost'!G23),0)</f>
        <v/>
      </c>
      <c r="H14" s="16">
        <f>MAX(0,MIN('Headcount and Cost'!F23,25.98)-MAX('Headcount and Cost'!E23-1,21.65))*IFERROR('Headcount and Cost'!I23/('Headcount and Cost'!G23),0)</f>
        <v/>
      </c>
      <c r="I14" s="16">
        <f>MAX(0,MIN('Headcount and Cost'!F23,30.31)-MAX('Headcount and Cost'!E23-1,25.98))*IFERROR('Headcount and Cost'!I23/('Headcount and Cost'!G23),0)</f>
        <v/>
      </c>
      <c r="J14" s="16">
        <f>MAX(0,MIN('Headcount and Cost'!F23,34.64)-MAX('Headcount and Cost'!E23-1,30.31))*IFERROR('Headcount and Cost'!I23/('Headcount and Cost'!G23),0)</f>
        <v/>
      </c>
      <c r="K14" s="16">
        <f>MAX(0,MIN('Headcount and Cost'!F23,38.97)-MAX('Headcount and Cost'!E23-1,34.64))*IFERROR('Headcount and Cost'!I23/('Headcount and Cost'!G23),0)</f>
        <v/>
      </c>
      <c r="L14" s="16">
        <f>MAX(0,MIN('Headcount and Cost'!F23,43.3)-MAX('Headcount and Cost'!E23-1,38.97))*IFERROR('Headcount and Cost'!I23/('Headcount and Cost'!G23),0)</f>
        <v/>
      </c>
      <c r="M14" s="16">
        <f>MAX(0,MIN('Headcount and Cost'!F23,47.63)-MAX('Headcount and Cost'!E23-1,43.3))*IFERROR('Headcount and Cost'!I23/('Headcount and Cost'!G23),0)</f>
        <v/>
      </c>
      <c r="N14" s="16">
        <f>MAX(0,MIN('Headcount and Cost'!F23,51.96)-MAX('Headcount and Cost'!E23-1,47.63))*IFERROR('Headcount and Cost'!I23/('Headcount and Cost'!G23),0)</f>
        <v/>
      </c>
      <c r="O14" s="16">
        <f>MAX(0,MIN('Headcount and Cost'!F23,56.29)-MAX('Headcount and Cost'!E23-1,51.96))*IFERROR('Headcount and Cost'!I23/('Headcount and Cost'!G23),0)</f>
        <v/>
      </c>
      <c r="P14" s="16">
        <f>MAX(0,MIN('Headcount and Cost'!F23,60.62)-MAX('Headcount and Cost'!E23-1,56.29))*IFERROR('Headcount and Cost'!I23/('Headcount and Cost'!G23),0)</f>
        <v/>
      </c>
      <c r="Q14" s="16">
        <f>MAX(0,MIN('Headcount and Cost'!F23,64.95)-MAX('Headcount and Cost'!E23-1,60.62))*IFERROR('Headcount and Cost'!I23/('Headcount and Cost'!G23),0)</f>
        <v/>
      </c>
      <c r="R14" s="16">
        <f>MAX(0,MIN('Headcount and Cost'!F23,69.28)-MAX('Headcount and Cost'!E23-1,64.95))*IFERROR('Headcount and Cost'!I23/('Headcount and Cost'!G23),0)</f>
        <v/>
      </c>
      <c r="S14" s="16">
        <f>MAX(0,MIN('Headcount and Cost'!F23,73.61)-MAX('Headcount and Cost'!E23-1,69.28))*IFERROR('Headcount and Cost'!I23/('Headcount and Cost'!G23),0)</f>
        <v/>
      </c>
      <c r="T14" s="16">
        <f>MAX(0,MIN('Headcount and Cost'!F23,77.94)-MAX('Headcount and Cost'!E23-1,73.61))*IFERROR('Headcount and Cost'!I23/('Headcount and Cost'!G23),0)</f>
        <v/>
      </c>
    </row>
    <row r="15">
      <c r="A15" s="12">
        <f>IF('Headcount and Cost'!A24="","",'Headcount and Cost'!A24&amp;" - "&amp;'Headcount and Cost'!J24)</f>
        <v/>
      </c>
      <c r="B15" s="16">
        <f>'Headcount and Cost'!I24</f>
        <v/>
      </c>
      <c r="C15" s="16">
        <f>MAX(0,MIN('Headcount and Cost'!F24,4.33)-MAX('Headcount and Cost'!E24-1,0))*IFERROR('Headcount and Cost'!I24/('Headcount and Cost'!G24),0)</f>
        <v/>
      </c>
      <c r="D15" s="16">
        <f>MAX(0,MIN('Headcount and Cost'!F24,8.66)-MAX('Headcount and Cost'!E24-1,4.33))*IFERROR('Headcount and Cost'!I24/('Headcount and Cost'!G24),0)</f>
        <v/>
      </c>
      <c r="E15" s="16">
        <f>MAX(0,MIN('Headcount and Cost'!F24,12.99)-MAX('Headcount and Cost'!E24-1,8.66))*IFERROR('Headcount and Cost'!I24/('Headcount and Cost'!G24),0)</f>
        <v/>
      </c>
      <c r="F15" s="16">
        <f>MAX(0,MIN('Headcount and Cost'!F24,17.32)-MAX('Headcount and Cost'!E24-1,12.99))*IFERROR('Headcount and Cost'!I24/('Headcount and Cost'!G24),0)</f>
        <v/>
      </c>
      <c r="G15" s="16">
        <f>MAX(0,MIN('Headcount and Cost'!F24,21.65)-MAX('Headcount and Cost'!E24-1,17.32))*IFERROR('Headcount and Cost'!I24/('Headcount and Cost'!G24),0)</f>
        <v/>
      </c>
      <c r="H15" s="16">
        <f>MAX(0,MIN('Headcount and Cost'!F24,25.98)-MAX('Headcount and Cost'!E24-1,21.65))*IFERROR('Headcount and Cost'!I24/('Headcount and Cost'!G24),0)</f>
        <v/>
      </c>
      <c r="I15" s="16">
        <f>MAX(0,MIN('Headcount and Cost'!F24,30.31)-MAX('Headcount and Cost'!E24-1,25.98))*IFERROR('Headcount and Cost'!I24/('Headcount and Cost'!G24),0)</f>
        <v/>
      </c>
      <c r="J15" s="16">
        <f>MAX(0,MIN('Headcount and Cost'!F24,34.64)-MAX('Headcount and Cost'!E24-1,30.31))*IFERROR('Headcount and Cost'!I24/('Headcount and Cost'!G24),0)</f>
        <v/>
      </c>
      <c r="K15" s="16">
        <f>MAX(0,MIN('Headcount and Cost'!F24,38.97)-MAX('Headcount and Cost'!E24-1,34.64))*IFERROR('Headcount and Cost'!I24/('Headcount and Cost'!G24),0)</f>
        <v/>
      </c>
      <c r="L15" s="16">
        <f>MAX(0,MIN('Headcount and Cost'!F24,43.3)-MAX('Headcount and Cost'!E24-1,38.97))*IFERROR('Headcount and Cost'!I24/('Headcount and Cost'!G24),0)</f>
        <v/>
      </c>
      <c r="M15" s="16">
        <f>MAX(0,MIN('Headcount and Cost'!F24,47.63)-MAX('Headcount and Cost'!E24-1,43.3))*IFERROR('Headcount and Cost'!I24/('Headcount and Cost'!G24),0)</f>
        <v/>
      </c>
      <c r="N15" s="16">
        <f>MAX(0,MIN('Headcount and Cost'!F24,51.96)-MAX('Headcount and Cost'!E24-1,47.63))*IFERROR('Headcount and Cost'!I24/('Headcount and Cost'!G24),0)</f>
        <v/>
      </c>
      <c r="O15" s="16">
        <f>MAX(0,MIN('Headcount and Cost'!F24,56.29)-MAX('Headcount and Cost'!E24-1,51.96))*IFERROR('Headcount and Cost'!I24/('Headcount and Cost'!G24),0)</f>
        <v/>
      </c>
      <c r="P15" s="16">
        <f>MAX(0,MIN('Headcount and Cost'!F24,60.62)-MAX('Headcount and Cost'!E24-1,56.29))*IFERROR('Headcount and Cost'!I24/('Headcount and Cost'!G24),0)</f>
        <v/>
      </c>
      <c r="Q15" s="16">
        <f>MAX(0,MIN('Headcount and Cost'!F24,64.95)-MAX('Headcount and Cost'!E24-1,60.62))*IFERROR('Headcount and Cost'!I24/('Headcount and Cost'!G24),0)</f>
        <v/>
      </c>
      <c r="R15" s="16">
        <f>MAX(0,MIN('Headcount and Cost'!F24,69.28)-MAX('Headcount and Cost'!E24-1,64.95))*IFERROR('Headcount and Cost'!I24/('Headcount and Cost'!G24),0)</f>
        <v/>
      </c>
      <c r="S15" s="16">
        <f>MAX(0,MIN('Headcount and Cost'!F24,73.61)-MAX('Headcount and Cost'!E24-1,69.28))*IFERROR('Headcount and Cost'!I24/('Headcount and Cost'!G24),0)</f>
        <v/>
      </c>
      <c r="T15" s="16">
        <f>MAX(0,MIN('Headcount and Cost'!F24,77.94)-MAX('Headcount and Cost'!E24-1,73.61))*IFERROR('Headcount and Cost'!I24/('Headcount and Cost'!G24),0)</f>
        <v/>
      </c>
    </row>
    <row r="16">
      <c r="A16" s="12">
        <f>IF('Headcount and Cost'!A25="","",'Headcount and Cost'!A25&amp;" - "&amp;'Headcount and Cost'!J25)</f>
        <v/>
      </c>
      <c r="B16" s="16">
        <f>'Headcount and Cost'!I25</f>
        <v/>
      </c>
      <c r="C16" s="16">
        <f>MAX(0,MIN('Headcount and Cost'!F25,4.33)-MAX('Headcount and Cost'!E25-1,0))*IFERROR('Headcount and Cost'!I25/('Headcount and Cost'!G25),0)</f>
        <v/>
      </c>
      <c r="D16" s="16">
        <f>MAX(0,MIN('Headcount and Cost'!F25,8.66)-MAX('Headcount and Cost'!E25-1,4.33))*IFERROR('Headcount and Cost'!I25/('Headcount and Cost'!G25),0)</f>
        <v/>
      </c>
      <c r="E16" s="16">
        <f>MAX(0,MIN('Headcount and Cost'!F25,12.99)-MAX('Headcount and Cost'!E25-1,8.66))*IFERROR('Headcount and Cost'!I25/('Headcount and Cost'!G25),0)</f>
        <v/>
      </c>
      <c r="F16" s="16">
        <f>MAX(0,MIN('Headcount and Cost'!F25,17.32)-MAX('Headcount and Cost'!E25-1,12.99))*IFERROR('Headcount and Cost'!I25/('Headcount and Cost'!G25),0)</f>
        <v/>
      </c>
      <c r="G16" s="16">
        <f>MAX(0,MIN('Headcount and Cost'!F25,21.65)-MAX('Headcount and Cost'!E25-1,17.32))*IFERROR('Headcount and Cost'!I25/('Headcount and Cost'!G25),0)</f>
        <v/>
      </c>
      <c r="H16" s="16">
        <f>MAX(0,MIN('Headcount and Cost'!F25,25.98)-MAX('Headcount and Cost'!E25-1,21.65))*IFERROR('Headcount and Cost'!I25/('Headcount and Cost'!G25),0)</f>
        <v/>
      </c>
      <c r="I16" s="16">
        <f>MAX(0,MIN('Headcount and Cost'!F25,30.31)-MAX('Headcount and Cost'!E25-1,25.98))*IFERROR('Headcount and Cost'!I25/('Headcount and Cost'!G25),0)</f>
        <v/>
      </c>
      <c r="J16" s="16">
        <f>MAX(0,MIN('Headcount and Cost'!F25,34.64)-MAX('Headcount and Cost'!E25-1,30.31))*IFERROR('Headcount and Cost'!I25/('Headcount and Cost'!G25),0)</f>
        <v/>
      </c>
      <c r="K16" s="16">
        <f>MAX(0,MIN('Headcount and Cost'!F25,38.97)-MAX('Headcount and Cost'!E25-1,34.64))*IFERROR('Headcount and Cost'!I25/('Headcount and Cost'!G25),0)</f>
        <v/>
      </c>
      <c r="L16" s="16">
        <f>MAX(0,MIN('Headcount and Cost'!F25,43.3)-MAX('Headcount and Cost'!E25-1,38.97))*IFERROR('Headcount and Cost'!I25/('Headcount and Cost'!G25),0)</f>
        <v/>
      </c>
      <c r="M16" s="16">
        <f>MAX(0,MIN('Headcount and Cost'!F25,47.63)-MAX('Headcount and Cost'!E25-1,43.3))*IFERROR('Headcount and Cost'!I25/('Headcount and Cost'!G25),0)</f>
        <v/>
      </c>
      <c r="N16" s="16">
        <f>MAX(0,MIN('Headcount and Cost'!F25,51.96)-MAX('Headcount and Cost'!E25-1,47.63))*IFERROR('Headcount and Cost'!I25/('Headcount and Cost'!G25),0)</f>
        <v/>
      </c>
      <c r="O16" s="16">
        <f>MAX(0,MIN('Headcount and Cost'!F25,56.29)-MAX('Headcount and Cost'!E25-1,51.96))*IFERROR('Headcount and Cost'!I25/('Headcount and Cost'!G25),0)</f>
        <v/>
      </c>
      <c r="P16" s="16">
        <f>MAX(0,MIN('Headcount and Cost'!F25,60.62)-MAX('Headcount and Cost'!E25-1,56.29))*IFERROR('Headcount and Cost'!I25/('Headcount and Cost'!G25),0)</f>
        <v/>
      </c>
      <c r="Q16" s="16">
        <f>MAX(0,MIN('Headcount and Cost'!F25,64.95)-MAX('Headcount and Cost'!E25-1,60.62))*IFERROR('Headcount and Cost'!I25/('Headcount and Cost'!G25),0)</f>
        <v/>
      </c>
      <c r="R16" s="16">
        <f>MAX(0,MIN('Headcount and Cost'!F25,69.28)-MAX('Headcount and Cost'!E25-1,64.95))*IFERROR('Headcount and Cost'!I25/('Headcount and Cost'!G25),0)</f>
        <v/>
      </c>
      <c r="S16" s="16">
        <f>MAX(0,MIN('Headcount and Cost'!F25,73.61)-MAX('Headcount and Cost'!E25-1,69.28))*IFERROR('Headcount and Cost'!I25/('Headcount and Cost'!G25),0)</f>
        <v/>
      </c>
      <c r="T16" s="16">
        <f>MAX(0,MIN('Headcount and Cost'!F25,77.94)-MAX('Headcount and Cost'!E25-1,73.61))*IFERROR('Headcount and Cost'!I25/('Headcount and Cost'!G25),0)</f>
        <v/>
      </c>
    </row>
    <row r="17">
      <c r="A17" s="12">
        <f>IF('Headcount and Cost'!A26="","",'Headcount and Cost'!A26&amp;" - "&amp;'Headcount and Cost'!J26)</f>
        <v/>
      </c>
      <c r="B17" s="16">
        <f>'Headcount and Cost'!I26</f>
        <v/>
      </c>
      <c r="C17" s="16">
        <f>MAX(0,MIN('Headcount and Cost'!F26,4.33)-MAX('Headcount and Cost'!E26-1,0))*IFERROR('Headcount and Cost'!I26/('Headcount and Cost'!G26),0)</f>
        <v/>
      </c>
      <c r="D17" s="16">
        <f>MAX(0,MIN('Headcount and Cost'!F26,8.66)-MAX('Headcount and Cost'!E26-1,4.33))*IFERROR('Headcount and Cost'!I26/('Headcount and Cost'!G26),0)</f>
        <v/>
      </c>
      <c r="E17" s="16">
        <f>MAX(0,MIN('Headcount and Cost'!F26,12.99)-MAX('Headcount and Cost'!E26-1,8.66))*IFERROR('Headcount and Cost'!I26/('Headcount and Cost'!G26),0)</f>
        <v/>
      </c>
      <c r="F17" s="16">
        <f>MAX(0,MIN('Headcount and Cost'!F26,17.32)-MAX('Headcount and Cost'!E26-1,12.99))*IFERROR('Headcount and Cost'!I26/('Headcount and Cost'!G26),0)</f>
        <v/>
      </c>
      <c r="G17" s="16">
        <f>MAX(0,MIN('Headcount and Cost'!F26,21.65)-MAX('Headcount and Cost'!E26-1,17.32))*IFERROR('Headcount and Cost'!I26/('Headcount and Cost'!G26),0)</f>
        <v/>
      </c>
      <c r="H17" s="16">
        <f>MAX(0,MIN('Headcount and Cost'!F26,25.98)-MAX('Headcount and Cost'!E26-1,21.65))*IFERROR('Headcount and Cost'!I26/('Headcount and Cost'!G26),0)</f>
        <v/>
      </c>
      <c r="I17" s="16">
        <f>MAX(0,MIN('Headcount and Cost'!F26,30.31)-MAX('Headcount and Cost'!E26-1,25.98))*IFERROR('Headcount and Cost'!I26/('Headcount and Cost'!G26),0)</f>
        <v/>
      </c>
      <c r="J17" s="16">
        <f>MAX(0,MIN('Headcount and Cost'!F26,34.64)-MAX('Headcount and Cost'!E26-1,30.31))*IFERROR('Headcount and Cost'!I26/('Headcount and Cost'!G26),0)</f>
        <v/>
      </c>
      <c r="K17" s="16">
        <f>MAX(0,MIN('Headcount and Cost'!F26,38.97)-MAX('Headcount and Cost'!E26-1,34.64))*IFERROR('Headcount and Cost'!I26/('Headcount and Cost'!G26),0)</f>
        <v/>
      </c>
      <c r="L17" s="16">
        <f>MAX(0,MIN('Headcount and Cost'!F26,43.3)-MAX('Headcount and Cost'!E26-1,38.97))*IFERROR('Headcount and Cost'!I26/('Headcount and Cost'!G26),0)</f>
        <v/>
      </c>
      <c r="M17" s="16">
        <f>MAX(0,MIN('Headcount and Cost'!F26,47.63)-MAX('Headcount and Cost'!E26-1,43.3))*IFERROR('Headcount and Cost'!I26/('Headcount and Cost'!G26),0)</f>
        <v/>
      </c>
      <c r="N17" s="16">
        <f>MAX(0,MIN('Headcount and Cost'!F26,51.96)-MAX('Headcount and Cost'!E26-1,47.63))*IFERROR('Headcount and Cost'!I26/('Headcount and Cost'!G26),0)</f>
        <v/>
      </c>
      <c r="O17" s="16">
        <f>MAX(0,MIN('Headcount and Cost'!F26,56.29)-MAX('Headcount and Cost'!E26-1,51.96))*IFERROR('Headcount and Cost'!I26/('Headcount and Cost'!G26),0)</f>
        <v/>
      </c>
      <c r="P17" s="16">
        <f>MAX(0,MIN('Headcount and Cost'!F26,60.62)-MAX('Headcount and Cost'!E26-1,56.29))*IFERROR('Headcount and Cost'!I26/('Headcount and Cost'!G26),0)</f>
        <v/>
      </c>
      <c r="Q17" s="16">
        <f>MAX(0,MIN('Headcount and Cost'!F26,64.95)-MAX('Headcount and Cost'!E26-1,60.62))*IFERROR('Headcount and Cost'!I26/('Headcount and Cost'!G26),0)</f>
        <v/>
      </c>
      <c r="R17" s="16">
        <f>MAX(0,MIN('Headcount and Cost'!F26,69.28)-MAX('Headcount and Cost'!E26-1,64.95))*IFERROR('Headcount and Cost'!I26/('Headcount and Cost'!G26),0)</f>
        <v/>
      </c>
      <c r="S17" s="16">
        <f>MAX(0,MIN('Headcount and Cost'!F26,73.61)-MAX('Headcount and Cost'!E26-1,69.28))*IFERROR('Headcount and Cost'!I26/('Headcount and Cost'!G26),0)</f>
        <v/>
      </c>
      <c r="T17" s="16">
        <f>MAX(0,MIN('Headcount and Cost'!F26,77.94)-MAX('Headcount and Cost'!E26-1,73.61))*IFERROR('Headcount and Cost'!I26/('Headcount and Cost'!G26),0)</f>
        <v/>
      </c>
    </row>
    <row r="18">
      <c r="A18" s="12">
        <f>IF('Headcount and Cost'!A27="","",'Headcount and Cost'!A27&amp;" - "&amp;'Headcount and Cost'!J27)</f>
        <v/>
      </c>
      <c r="B18" s="16">
        <f>'Headcount and Cost'!I27</f>
        <v/>
      </c>
      <c r="C18" s="16">
        <f>MAX(0,MIN('Headcount and Cost'!F27,4.33)-MAX('Headcount and Cost'!E27-1,0))*IFERROR('Headcount and Cost'!I27/('Headcount and Cost'!G27),0)</f>
        <v/>
      </c>
      <c r="D18" s="16">
        <f>MAX(0,MIN('Headcount and Cost'!F27,8.66)-MAX('Headcount and Cost'!E27-1,4.33))*IFERROR('Headcount and Cost'!I27/('Headcount and Cost'!G27),0)</f>
        <v/>
      </c>
      <c r="E18" s="16">
        <f>MAX(0,MIN('Headcount and Cost'!F27,12.99)-MAX('Headcount and Cost'!E27-1,8.66))*IFERROR('Headcount and Cost'!I27/('Headcount and Cost'!G27),0)</f>
        <v/>
      </c>
      <c r="F18" s="16">
        <f>MAX(0,MIN('Headcount and Cost'!F27,17.32)-MAX('Headcount and Cost'!E27-1,12.99))*IFERROR('Headcount and Cost'!I27/('Headcount and Cost'!G27),0)</f>
        <v/>
      </c>
      <c r="G18" s="16">
        <f>MAX(0,MIN('Headcount and Cost'!F27,21.65)-MAX('Headcount and Cost'!E27-1,17.32))*IFERROR('Headcount and Cost'!I27/('Headcount and Cost'!G27),0)</f>
        <v/>
      </c>
      <c r="H18" s="16">
        <f>MAX(0,MIN('Headcount and Cost'!F27,25.98)-MAX('Headcount and Cost'!E27-1,21.65))*IFERROR('Headcount and Cost'!I27/('Headcount and Cost'!G27),0)</f>
        <v/>
      </c>
      <c r="I18" s="16">
        <f>MAX(0,MIN('Headcount and Cost'!F27,30.31)-MAX('Headcount and Cost'!E27-1,25.98))*IFERROR('Headcount and Cost'!I27/('Headcount and Cost'!G27),0)</f>
        <v/>
      </c>
      <c r="J18" s="16">
        <f>MAX(0,MIN('Headcount and Cost'!F27,34.64)-MAX('Headcount and Cost'!E27-1,30.31))*IFERROR('Headcount and Cost'!I27/('Headcount and Cost'!G27),0)</f>
        <v/>
      </c>
      <c r="K18" s="16">
        <f>MAX(0,MIN('Headcount and Cost'!F27,38.97)-MAX('Headcount and Cost'!E27-1,34.64))*IFERROR('Headcount and Cost'!I27/('Headcount and Cost'!G27),0)</f>
        <v/>
      </c>
      <c r="L18" s="16">
        <f>MAX(0,MIN('Headcount and Cost'!F27,43.3)-MAX('Headcount and Cost'!E27-1,38.97))*IFERROR('Headcount and Cost'!I27/('Headcount and Cost'!G27),0)</f>
        <v/>
      </c>
      <c r="M18" s="16">
        <f>MAX(0,MIN('Headcount and Cost'!F27,47.63)-MAX('Headcount and Cost'!E27-1,43.3))*IFERROR('Headcount and Cost'!I27/('Headcount and Cost'!G27),0)</f>
        <v/>
      </c>
      <c r="N18" s="16">
        <f>MAX(0,MIN('Headcount and Cost'!F27,51.96)-MAX('Headcount and Cost'!E27-1,47.63))*IFERROR('Headcount and Cost'!I27/('Headcount and Cost'!G27),0)</f>
        <v/>
      </c>
      <c r="O18" s="16">
        <f>MAX(0,MIN('Headcount and Cost'!F27,56.29)-MAX('Headcount and Cost'!E27-1,51.96))*IFERROR('Headcount and Cost'!I27/('Headcount and Cost'!G27),0)</f>
        <v/>
      </c>
      <c r="P18" s="16">
        <f>MAX(0,MIN('Headcount and Cost'!F27,60.62)-MAX('Headcount and Cost'!E27-1,56.29))*IFERROR('Headcount and Cost'!I27/('Headcount and Cost'!G27),0)</f>
        <v/>
      </c>
      <c r="Q18" s="16">
        <f>MAX(0,MIN('Headcount and Cost'!F27,64.95)-MAX('Headcount and Cost'!E27-1,60.62))*IFERROR('Headcount and Cost'!I27/('Headcount and Cost'!G27),0)</f>
        <v/>
      </c>
      <c r="R18" s="16">
        <f>MAX(0,MIN('Headcount and Cost'!F27,69.28)-MAX('Headcount and Cost'!E27-1,64.95))*IFERROR('Headcount and Cost'!I27/('Headcount and Cost'!G27),0)</f>
        <v/>
      </c>
      <c r="S18" s="16">
        <f>MAX(0,MIN('Headcount and Cost'!F27,73.61)-MAX('Headcount and Cost'!E27-1,69.28))*IFERROR('Headcount and Cost'!I27/('Headcount and Cost'!G27),0)</f>
        <v/>
      </c>
      <c r="T18" s="16">
        <f>MAX(0,MIN('Headcount and Cost'!F27,77.94)-MAX('Headcount and Cost'!E27-1,73.61))*IFERROR('Headcount and Cost'!I27/('Headcount and Cost'!G27),0)</f>
        <v/>
      </c>
    </row>
    <row r="19">
      <c r="A19" s="12">
        <f>IF('Headcount and Cost'!A28="","",'Headcount and Cost'!A28&amp;" - "&amp;'Headcount and Cost'!J28)</f>
        <v/>
      </c>
      <c r="B19" s="16">
        <f>'Headcount and Cost'!I28</f>
        <v/>
      </c>
      <c r="C19" s="16">
        <f>MAX(0,MIN('Headcount and Cost'!F28,4.33)-MAX('Headcount and Cost'!E28-1,0))*IFERROR('Headcount and Cost'!I28/('Headcount and Cost'!G28),0)</f>
        <v/>
      </c>
      <c r="D19" s="16">
        <f>MAX(0,MIN('Headcount and Cost'!F28,8.66)-MAX('Headcount and Cost'!E28-1,4.33))*IFERROR('Headcount and Cost'!I28/('Headcount and Cost'!G28),0)</f>
        <v/>
      </c>
      <c r="E19" s="16">
        <f>MAX(0,MIN('Headcount and Cost'!F28,12.99)-MAX('Headcount and Cost'!E28-1,8.66))*IFERROR('Headcount and Cost'!I28/('Headcount and Cost'!G28),0)</f>
        <v/>
      </c>
      <c r="F19" s="16">
        <f>MAX(0,MIN('Headcount and Cost'!F28,17.32)-MAX('Headcount and Cost'!E28-1,12.99))*IFERROR('Headcount and Cost'!I28/('Headcount and Cost'!G28),0)</f>
        <v/>
      </c>
      <c r="G19" s="16">
        <f>MAX(0,MIN('Headcount and Cost'!F28,21.65)-MAX('Headcount and Cost'!E28-1,17.32))*IFERROR('Headcount and Cost'!I28/('Headcount and Cost'!G28),0)</f>
        <v/>
      </c>
      <c r="H19" s="16">
        <f>MAX(0,MIN('Headcount and Cost'!F28,25.98)-MAX('Headcount and Cost'!E28-1,21.65))*IFERROR('Headcount and Cost'!I28/('Headcount and Cost'!G28),0)</f>
        <v/>
      </c>
      <c r="I19" s="16">
        <f>MAX(0,MIN('Headcount and Cost'!F28,30.31)-MAX('Headcount and Cost'!E28-1,25.98))*IFERROR('Headcount and Cost'!I28/('Headcount and Cost'!G28),0)</f>
        <v/>
      </c>
      <c r="J19" s="16">
        <f>MAX(0,MIN('Headcount and Cost'!F28,34.64)-MAX('Headcount and Cost'!E28-1,30.31))*IFERROR('Headcount and Cost'!I28/('Headcount and Cost'!G28),0)</f>
        <v/>
      </c>
      <c r="K19" s="16">
        <f>MAX(0,MIN('Headcount and Cost'!F28,38.97)-MAX('Headcount and Cost'!E28-1,34.64))*IFERROR('Headcount and Cost'!I28/('Headcount and Cost'!G28),0)</f>
        <v/>
      </c>
      <c r="L19" s="16">
        <f>MAX(0,MIN('Headcount and Cost'!F28,43.3)-MAX('Headcount and Cost'!E28-1,38.97))*IFERROR('Headcount and Cost'!I28/('Headcount and Cost'!G28),0)</f>
        <v/>
      </c>
      <c r="M19" s="16">
        <f>MAX(0,MIN('Headcount and Cost'!F28,47.63)-MAX('Headcount and Cost'!E28-1,43.3))*IFERROR('Headcount and Cost'!I28/('Headcount and Cost'!G28),0)</f>
        <v/>
      </c>
      <c r="N19" s="16">
        <f>MAX(0,MIN('Headcount and Cost'!F28,51.96)-MAX('Headcount and Cost'!E28-1,47.63))*IFERROR('Headcount and Cost'!I28/('Headcount and Cost'!G28),0)</f>
        <v/>
      </c>
      <c r="O19" s="16">
        <f>MAX(0,MIN('Headcount and Cost'!F28,56.29)-MAX('Headcount and Cost'!E28-1,51.96))*IFERROR('Headcount and Cost'!I28/('Headcount and Cost'!G28),0)</f>
        <v/>
      </c>
      <c r="P19" s="16">
        <f>MAX(0,MIN('Headcount and Cost'!F28,60.62)-MAX('Headcount and Cost'!E28-1,56.29))*IFERROR('Headcount and Cost'!I28/('Headcount and Cost'!G28),0)</f>
        <v/>
      </c>
      <c r="Q19" s="16">
        <f>MAX(0,MIN('Headcount and Cost'!F28,64.95)-MAX('Headcount and Cost'!E28-1,60.62))*IFERROR('Headcount and Cost'!I28/('Headcount and Cost'!G28),0)</f>
        <v/>
      </c>
      <c r="R19" s="16">
        <f>MAX(0,MIN('Headcount and Cost'!F28,69.28)-MAX('Headcount and Cost'!E28-1,64.95))*IFERROR('Headcount and Cost'!I28/('Headcount and Cost'!G28),0)</f>
        <v/>
      </c>
      <c r="S19" s="16">
        <f>MAX(0,MIN('Headcount and Cost'!F28,73.61)-MAX('Headcount and Cost'!E28-1,69.28))*IFERROR('Headcount and Cost'!I28/('Headcount and Cost'!G28),0)</f>
        <v/>
      </c>
      <c r="T19" s="16">
        <f>MAX(0,MIN('Headcount and Cost'!F28,77.94)-MAX('Headcount and Cost'!E28-1,73.61))*IFERROR('Headcount and Cost'!I28/('Headcount and Cost'!G28),0)</f>
        <v/>
      </c>
    </row>
    <row r="20">
      <c r="A20" s="12">
        <f>IF('Headcount and Cost'!A29="","",'Headcount and Cost'!A29&amp;" - "&amp;'Headcount and Cost'!J29)</f>
        <v/>
      </c>
      <c r="B20" s="16">
        <f>'Headcount and Cost'!I29</f>
        <v/>
      </c>
      <c r="C20" s="16">
        <f>MAX(0,MIN('Headcount and Cost'!F29,4.33)-MAX('Headcount and Cost'!E29-1,0))*IFERROR('Headcount and Cost'!I29/('Headcount and Cost'!G29),0)</f>
        <v/>
      </c>
      <c r="D20" s="16">
        <f>MAX(0,MIN('Headcount and Cost'!F29,8.66)-MAX('Headcount and Cost'!E29-1,4.33))*IFERROR('Headcount and Cost'!I29/('Headcount and Cost'!G29),0)</f>
        <v/>
      </c>
      <c r="E20" s="16">
        <f>MAX(0,MIN('Headcount and Cost'!F29,12.99)-MAX('Headcount and Cost'!E29-1,8.66))*IFERROR('Headcount and Cost'!I29/('Headcount and Cost'!G29),0)</f>
        <v/>
      </c>
      <c r="F20" s="16">
        <f>MAX(0,MIN('Headcount and Cost'!F29,17.32)-MAX('Headcount and Cost'!E29-1,12.99))*IFERROR('Headcount and Cost'!I29/('Headcount and Cost'!G29),0)</f>
        <v/>
      </c>
      <c r="G20" s="16">
        <f>MAX(0,MIN('Headcount and Cost'!F29,21.65)-MAX('Headcount and Cost'!E29-1,17.32))*IFERROR('Headcount and Cost'!I29/('Headcount and Cost'!G29),0)</f>
        <v/>
      </c>
      <c r="H20" s="16">
        <f>MAX(0,MIN('Headcount and Cost'!F29,25.98)-MAX('Headcount and Cost'!E29-1,21.65))*IFERROR('Headcount and Cost'!I29/('Headcount and Cost'!G29),0)</f>
        <v/>
      </c>
      <c r="I20" s="16">
        <f>MAX(0,MIN('Headcount and Cost'!F29,30.31)-MAX('Headcount and Cost'!E29-1,25.98))*IFERROR('Headcount and Cost'!I29/('Headcount and Cost'!G29),0)</f>
        <v/>
      </c>
      <c r="J20" s="16">
        <f>MAX(0,MIN('Headcount and Cost'!F29,34.64)-MAX('Headcount and Cost'!E29-1,30.31))*IFERROR('Headcount and Cost'!I29/('Headcount and Cost'!G29),0)</f>
        <v/>
      </c>
      <c r="K20" s="16">
        <f>MAX(0,MIN('Headcount and Cost'!F29,38.97)-MAX('Headcount and Cost'!E29-1,34.64))*IFERROR('Headcount and Cost'!I29/('Headcount and Cost'!G29),0)</f>
        <v/>
      </c>
      <c r="L20" s="16">
        <f>MAX(0,MIN('Headcount and Cost'!F29,43.3)-MAX('Headcount and Cost'!E29-1,38.97))*IFERROR('Headcount and Cost'!I29/('Headcount and Cost'!G29),0)</f>
        <v/>
      </c>
      <c r="M20" s="16">
        <f>MAX(0,MIN('Headcount and Cost'!F29,47.63)-MAX('Headcount and Cost'!E29-1,43.3))*IFERROR('Headcount and Cost'!I29/('Headcount and Cost'!G29),0)</f>
        <v/>
      </c>
      <c r="N20" s="16">
        <f>MAX(0,MIN('Headcount and Cost'!F29,51.96)-MAX('Headcount and Cost'!E29-1,47.63))*IFERROR('Headcount and Cost'!I29/('Headcount and Cost'!G29),0)</f>
        <v/>
      </c>
      <c r="O20" s="16">
        <f>MAX(0,MIN('Headcount and Cost'!F29,56.29)-MAX('Headcount and Cost'!E29-1,51.96))*IFERROR('Headcount and Cost'!I29/('Headcount and Cost'!G29),0)</f>
        <v/>
      </c>
      <c r="P20" s="16">
        <f>MAX(0,MIN('Headcount and Cost'!F29,60.62)-MAX('Headcount and Cost'!E29-1,56.29))*IFERROR('Headcount and Cost'!I29/('Headcount and Cost'!G29),0)</f>
        <v/>
      </c>
      <c r="Q20" s="16">
        <f>MAX(0,MIN('Headcount and Cost'!F29,64.95)-MAX('Headcount and Cost'!E29-1,60.62))*IFERROR('Headcount and Cost'!I29/('Headcount and Cost'!G29),0)</f>
        <v/>
      </c>
      <c r="R20" s="16">
        <f>MAX(0,MIN('Headcount and Cost'!F29,69.28)-MAX('Headcount and Cost'!E29-1,64.95))*IFERROR('Headcount and Cost'!I29/('Headcount and Cost'!G29),0)</f>
        <v/>
      </c>
      <c r="S20" s="16">
        <f>MAX(0,MIN('Headcount and Cost'!F29,73.61)-MAX('Headcount and Cost'!E29-1,69.28))*IFERROR('Headcount and Cost'!I29/('Headcount and Cost'!G29),0)</f>
        <v/>
      </c>
      <c r="T20" s="16">
        <f>MAX(0,MIN('Headcount and Cost'!F29,77.94)-MAX('Headcount and Cost'!E29-1,73.61))*IFERROR('Headcount and Cost'!I29/('Headcount and Cost'!G29),0)</f>
        <v/>
      </c>
    </row>
    <row r="21" ht="15.75" customHeight="1" s="27"/>
    <row r="22" ht="15.75" customHeight="1" s="27">
      <c r="A22" s="14" t="inlineStr">
        <is>
          <t>TOTAL</t>
        </is>
      </c>
      <c r="B22" s="16">
        <f>SUM(B9:B20)</f>
        <v/>
      </c>
      <c r="C22" s="16">
        <f>SUM(C9:C20)</f>
        <v/>
      </c>
      <c r="D22" s="16">
        <f>SUM(D9:D20)</f>
        <v/>
      </c>
      <c r="E22" s="16">
        <f>SUM(E9:E20)</f>
        <v/>
      </c>
      <c r="F22" s="16">
        <f>SUM(F9:F20)</f>
        <v/>
      </c>
      <c r="G22" s="16">
        <f>SUM(G9:G20)</f>
        <v/>
      </c>
      <c r="H22" s="16">
        <f>SUM(H9:H20)</f>
        <v/>
      </c>
      <c r="I22" s="16">
        <f>SUM(I9:I20)</f>
        <v/>
      </c>
      <c r="J22" s="16">
        <f>SUM(J9:J20)</f>
        <v/>
      </c>
      <c r="K22" s="16">
        <f>SUM(K9:K20)</f>
        <v/>
      </c>
      <c r="L22" s="16">
        <f>SUM(L9:L20)</f>
        <v/>
      </c>
      <c r="M22" s="16">
        <f>SUM(M9:M20)</f>
        <v/>
      </c>
      <c r="N22" s="16">
        <f>SUM(N9:N20)</f>
        <v/>
      </c>
      <c r="O22" s="16">
        <f>SUM(O9:O20)</f>
        <v/>
      </c>
      <c r="P22" s="16">
        <f>SUM(P9:P20)</f>
        <v/>
      </c>
      <c r="Q22" s="16">
        <f>SUM(Q9:Q20)</f>
        <v/>
      </c>
      <c r="R22" s="16">
        <f>SUM(R9:R20)</f>
        <v/>
      </c>
      <c r="S22" s="16">
        <f>SUM(S9:S20)</f>
        <v/>
      </c>
      <c r="T22" s="16">
        <f>SUM(T9:T20)</f>
        <v/>
      </c>
    </row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A1:T1"/>
    <mergeCell ref="B3:T3"/>
    <mergeCell ref="B5:T5"/>
    <mergeCell ref="B4:T4"/>
    <mergeCell ref="B6:T6"/>
    <mergeCell ref="B2:T2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27" min="1" max="1"/>
    <col width="14" customWidth="1" style="27" min="2" max="2"/>
    <col width="24" customWidth="1" style="27" min="3" max="3"/>
    <col width="32" customWidth="1" style="27" min="4" max="4"/>
    <col width="16" customWidth="1" style="27" min="5" max="5"/>
    <col width="8.710000000000001" customWidth="1" style="27" min="6" max="26"/>
  </cols>
  <sheetData>
    <row r="1">
      <c r="A1" s="6" t="inlineStr">
        <is>
          <t>Fixed / 3rd-party Costs</t>
        </is>
      </c>
    </row>
    <row r="2" ht="30" customHeight="1" s="27">
      <c r="A2" s="7" t="inlineStr">
        <is>
          <t>Purpose:</t>
        </is>
      </c>
      <c r="B2" s="28" t="inlineStr">
        <is>
          <t>Lump-sum costs not modeled per FTE-hour: penetration testing, performance testing, smart contract audit, compliance officer, technical writer, KYC/AML licenses, cloud bill estimates.</t>
        </is>
      </c>
    </row>
    <row r="3" ht="48" customHeight="1" s="27">
      <c r="A3" s="7" t="inlineStr">
        <is>
          <t>How to use:</t>
        </is>
      </c>
      <c r="B3" s="28" t="inlineStr">
        <is>
          <t>(1) Add a line per cost. (2) Set Include = Included to add it to the SOW total, Not included to keep it visible but excluded, Post-MVP to defer, Select for decision pending. (3) Use the Notes column to point to the vendor quote. (4) Cloud cost lines: pull values from the DevOps Estimation tab cost-modelling outputs.</t>
        </is>
      </c>
    </row>
    <row r="4" ht="30" customHeight="1" s="27">
      <c r="A4" s="7" t="inlineStr">
        <is>
          <t>Inputs:</t>
        </is>
      </c>
      <c r="B4" s="28" t="inlineStr">
        <is>
          <t>Manual entries (item, amount, vendor, notes, include).</t>
        </is>
      </c>
    </row>
    <row r="5" ht="30" customHeight="1" s="27">
      <c r="A5" s="7" t="inlineStr">
        <is>
          <t>Outputs:</t>
        </is>
      </c>
      <c r="B5" s="28" t="inlineStr">
        <is>
          <t>'Total Included' at the bottom — add to SOW external total beside Headcount and Cost Total Cost.</t>
        </is>
      </c>
    </row>
    <row r="6" ht="30" customHeight="1" s="27">
      <c r="A6" s="7" t="inlineStr">
        <is>
          <t>Linked tabs:</t>
        </is>
      </c>
      <c r="B6" s="28" t="inlineStr">
        <is>
          <t>DevOps Estimation (cloud cost estimates feed this tab). Headcount and Cost (Total Cost is the FTE side; this tab is the non-FTE side).</t>
        </is>
      </c>
    </row>
    <row r="8">
      <c r="A8" s="17" t="inlineStr">
        <is>
          <t>Item</t>
        </is>
      </c>
      <c r="B8" s="17" t="inlineStr">
        <is>
          <t>Amount, $</t>
        </is>
      </c>
      <c r="C8" s="17" t="inlineStr">
        <is>
          <t>Vendor / supplier</t>
        </is>
      </c>
      <c r="D8" s="17" t="inlineStr">
        <is>
          <t>Notes</t>
        </is>
      </c>
      <c r="E8" s="17" t="inlineStr">
        <is>
          <t>Include</t>
        </is>
      </c>
    </row>
    <row r="9">
      <c r="A9" s="15" t="inlineStr">
        <is>
          <t>Penetration testing</t>
        </is>
      </c>
      <c r="B9" s="15" t="n">
        <v>35000</v>
      </c>
      <c r="C9" s="15" t="n"/>
      <c r="D9" s="15" t="inlineStr">
        <is>
          <t>external pen-test before go-live</t>
        </is>
      </c>
      <c r="E9" s="15" t="inlineStr">
        <is>
          <t>Included</t>
        </is>
      </c>
    </row>
    <row r="10">
      <c r="A10" s="15" t="inlineStr">
        <is>
          <t>Performance / load testing</t>
        </is>
      </c>
      <c r="B10" s="15" t="n">
        <v>20000</v>
      </c>
      <c r="C10" s="15" t="n"/>
      <c r="D10" s="15" t="inlineStr">
        <is>
          <t>JMeter / k6 partner</t>
        </is>
      </c>
      <c r="E10" s="15" t="inlineStr">
        <is>
          <t>Included</t>
        </is>
      </c>
    </row>
    <row r="11">
      <c r="A11" s="15" t="inlineStr">
        <is>
          <t>Compliance Officer (per audit)</t>
        </is>
      </c>
      <c r="B11" s="15" t="n">
        <v>20000</v>
      </c>
      <c r="C11" s="15" t="n"/>
      <c r="D11" s="15" t="inlineStr">
        <is>
          <t>GDPR / PCI-DSS sign-off</t>
        </is>
      </c>
      <c r="E11" s="15" t="inlineStr">
        <is>
          <t>Not included</t>
        </is>
      </c>
    </row>
    <row r="12">
      <c r="A12" s="15" t="inlineStr">
        <is>
          <t>Technical Writer</t>
        </is>
      </c>
      <c r="B12" s="15" t="n">
        <v>20000</v>
      </c>
      <c r="C12" s="15" t="n"/>
      <c r="D12" s="15" t="inlineStr">
        <is>
          <t>user docs + admin guide</t>
        </is>
      </c>
      <c r="E12" s="15" t="inlineStr">
        <is>
          <t>Not included</t>
        </is>
      </c>
    </row>
    <row r="13">
      <c r="A13" s="15" t="inlineStr">
        <is>
          <t>Smart Contract Audit</t>
        </is>
      </c>
      <c r="B13" s="15" t="n">
        <v>15000</v>
      </c>
      <c r="C13" s="15" t="n"/>
      <c r="D13" s="15" t="inlineStr">
        <is>
          <t>if blockchain components</t>
        </is>
      </c>
      <c r="E13" s="15" t="inlineStr">
        <is>
          <t>Not included</t>
        </is>
      </c>
    </row>
    <row r="14">
      <c r="A14" s="15" t="inlineStr">
        <is>
          <t>3rd-party KYC / AML licenses</t>
        </is>
      </c>
      <c r="B14" s="15" t="n">
        <v>0</v>
      </c>
      <c r="C14" s="15" t="n"/>
      <c r="D14" s="15" t="inlineStr">
        <is>
          <t>Onfido, SumSub, Veriff</t>
        </is>
      </c>
      <c r="E14" s="15" t="inlineStr">
        <is>
          <t>Select</t>
        </is>
      </c>
    </row>
    <row r="15">
      <c r="A15" s="15" t="inlineStr">
        <is>
          <t>Cloud cost (Discovery)</t>
        </is>
      </c>
      <c r="B15" s="15" t="n">
        <v>0</v>
      </c>
      <c r="C15" s="15" t="n"/>
      <c r="D15" s="15" t="inlineStr">
        <is>
          <t>estimate from DevOps tab</t>
        </is>
      </c>
      <c r="E15" s="15" t="inlineStr">
        <is>
          <t>Included</t>
        </is>
      </c>
    </row>
    <row r="16">
      <c r="A16" s="15" t="inlineStr">
        <is>
          <t>Cloud cost (Implementation)</t>
        </is>
      </c>
      <c r="B16" s="15" t="n">
        <v>0</v>
      </c>
      <c r="C16" s="15" t="n"/>
      <c r="D16" s="15" t="inlineStr">
        <is>
          <t>estimate from DevOps tab</t>
        </is>
      </c>
      <c r="E16" s="15" t="inlineStr">
        <is>
          <t>Included</t>
        </is>
      </c>
    </row>
    <row r="17">
      <c r="A17" s="15" t="inlineStr">
        <is>
          <t>Cloud cost (1st year prod)</t>
        </is>
      </c>
      <c r="B17" s="15" t="n">
        <v>0</v>
      </c>
      <c r="C17" s="15" t="n"/>
      <c r="D17" s="15" t="inlineStr">
        <is>
          <t>estimate from DevOps tab</t>
        </is>
      </c>
      <c r="E17" s="15" t="inlineStr">
        <is>
          <t>Included</t>
        </is>
      </c>
    </row>
    <row r="19">
      <c r="A19" s="14" t="inlineStr">
        <is>
          <t>Total Included</t>
        </is>
      </c>
      <c r="B19" s="16">
        <f>SUMIF(E9:E17,"Included",B9:B17)</f>
        <v/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E4"/>
    <mergeCell ref="B6:E6"/>
    <mergeCell ref="A1:E1"/>
    <mergeCell ref="B3:E3"/>
    <mergeCell ref="B5:E5"/>
    <mergeCell ref="B2:E2"/>
  </mergeCells>
  <dataValidations count="1">
    <dataValidation sqref="E9:E17" showDropDown="0" showInputMessage="0" showErrorMessage="0" allowBlank="1" type="list">
      <formula1>"Included,Not included,Post-MVP,Select"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7" min="1" max="1"/>
    <col width="11" customWidth="1" style="27" min="2" max="2"/>
    <col width="12" customWidth="1" style="27" min="3" max="3"/>
    <col width="8" customWidth="1" style="27" min="4" max="4"/>
    <col width="11" customWidth="1" style="27" min="5" max="5"/>
    <col width="12" customWidth="1" style="27" min="6" max="7"/>
    <col width="14" customWidth="1" style="27" min="8" max="9"/>
    <col width="8.710000000000001" customWidth="1" style="27" min="10" max="26"/>
  </cols>
  <sheetData>
    <row r="1">
      <c r="A1" s="6" t="inlineStr">
        <is>
          <t>Maintenance / Run-rate Cost (post go-live)</t>
        </is>
      </c>
    </row>
    <row r="2" ht="30" customHeight="1" s="27">
      <c r="A2" s="7" t="inlineStr">
        <is>
          <t>Purpose:</t>
        </is>
      </c>
      <c r="B2" s="28" t="inlineStr">
        <is>
          <t>Steady-state monthly cost grid for support / minor enhancements after go-live. Same role pattern as Headcount and Cost but with monthly cadence (168 h/mo per FTE).</t>
        </is>
      </c>
    </row>
    <row r="3" ht="48" customHeight="1" s="27">
      <c r="A3" s="7" t="inlineStr">
        <is>
          <t>How to use:</t>
        </is>
      </c>
      <c r="B3" s="28" t="inlineStr">
        <is>
          <t>(1) For each role you'll keep on retainer, set Headcount and Allocation. (2) Rate is looked up from the Rates tab. (3) The Annual Run-rate cell at the bottom is what you quote in the SOW maintenance section. (4) If the deal is fixed-price-with-SLA, also discuss Fixed Costs (cloud bill, monitoring, security tooling) — they aren't here.</t>
        </is>
      </c>
    </row>
    <row r="4" ht="30" customHeight="1" s="27">
      <c r="A4" s="7" t="inlineStr">
        <is>
          <t>Inputs:</t>
        </is>
      </c>
      <c r="B4" s="28" t="inlineStr">
        <is>
          <t>Per-role Headcount, Allocation, Seniority, Location. Rates tab.</t>
        </is>
      </c>
    </row>
    <row r="5" ht="30" customHeight="1" s="27">
      <c r="A5" s="7" t="inlineStr">
        <is>
          <t>Outputs:</t>
        </is>
      </c>
      <c r="B5" s="28" t="inlineStr">
        <is>
          <t>Monthly Run-rate, Annual Run-rate.</t>
        </is>
      </c>
    </row>
    <row r="6" ht="30" customHeight="1" s="27">
      <c r="A6" s="7" t="inlineStr">
        <is>
          <t>Linked tabs:</t>
        </is>
      </c>
      <c r="B6" s="28" t="inlineStr">
        <is>
          <t>Rates (rate lookup). Headcount and Cost (build phase counterpart). Fixed Costs (non-FTE recurring costs).</t>
        </is>
      </c>
    </row>
    <row r="8">
      <c r="A8" s="17" t="inlineStr">
        <is>
          <t>Role</t>
        </is>
      </c>
      <c r="B8" s="17" t="inlineStr">
        <is>
          <t>Seniority</t>
        </is>
      </c>
      <c r="C8" s="17" t="inlineStr">
        <is>
          <t>Location</t>
        </is>
      </c>
      <c r="D8" s="17" t="inlineStr">
        <is>
          <t>Headcount</t>
        </is>
      </c>
      <c r="E8" s="17" t="inlineStr">
        <is>
          <t>Allocation</t>
        </is>
      </c>
      <c r="F8" s="17" t="inlineStr">
        <is>
          <t>FTE</t>
        </is>
      </c>
      <c r="G8" s="17" t="inlineStr">
        <is>
          <t>Hours/Month</t>
        </is>
      </c>
      <c r="H8" s="17" t="inlineStr">
        <is>
          <t>Rate, $/h</t>
        </is>
      </c>
      <c r="I8" s="17" t="inlineStr">
        <is>
          <t>Monthly Cost, $</t>
        </is>
      </c>
    </row>
    <row r="9">
      <c r="A9" s="15" t="inlineStr">
        <is>
          <t>PM</t>
        </is>
      </c>
      <c r="B9" s="15" t="inlineStr">
        <is>
          <t>M1</t>
        </is>
      </c>
      <c r="C9" s="15" t="inlineStr">
        <is>
          <t>Poland</t>
        </is>
      </c>
      <c r="D9" s="15" t="n">
        <v>1</v>
      </c>
      <c r="E9" s="15" t="n">
        <v>0.25</v>
      </c>
      <c r="F9" s="16">
        <f>D9*E9</f>
        <v/>
      </c>
      <c r="G9" s="16">
        <f>F9*168</f>
        <v/>
      </c>
      <c r="H9" s="16">
        <f t="array" ref="H9">IFERROR(INDEX(Rates!$D:$D,MATCH(1,(Rates!$A:$A=A9)*(Rates!$B:$B=B9)*(Rates!$C:$C=C9),0)),RefRate)</f>
        <v/>
      </c>
      <c r="I9" s="16">
        <f>G9*H9</f>
        <v/>
      </c>
    </row>
    <row r="10">
      <c r="A10" s="15" t="inlineStr">
        <is>
          <t>Back-End</t>
        </is>
      </c>
      <c r="B10" s="15" t="inlineStr">
        <is>
          <t>S1</t>
        </is>
      </c>
      <c r="C10" s="15" t="inlineStr">
        <is>
          <t>Poland</t>
        </is>
      </c>
      <c r="D10" s="15" t="n">
        <v>1</v>
      </c>
      <c r="E10" s="15" t="n">
        <v>0.5</v>
      </c>
      <c r="F10" s="16">
        <f>D10*E10</f>
        <v/>
      </c>
      <c r="G10" s="16">
        <f>F10*168</f>
        <v/>
      </c>
      <c r="H10" s="16">
        <f t="array" ref="H10">IFERROR(INDEX(Rates!$D:$D,MATCH(1,(Rates!$A:$A=A10)*(Rates!$B:$B=B10)*(Rates!$C:$C=C10),0)),RefRate)</f>
        <v/>
      </c>
      <c r="I10" s="16">
        <f>G10*H10</f>
        <v/>
      </c>
    </row>
    <row r="11">
      <c r="A11" s="15" t="inlineStr">
        <is>
          <t>Front-End Web</t>
        </is>
      </c>
      <c r="B11" s="15" t="inlineStr">
        <is>
          <t>M1</t>
        </is>
      </c>
      <c r="C11" s="15" t="inlineStr">
        <is>
          <t>Poland</t>
        </is>
      </c>
      <c r="D11" s="15" t="n">
        <v>1</v>
      </c>
      <c r="E11" s="15" t="n">
        <v>0.25</v>
      </c>
      <c r="F11" s="16">
        <f>D11*E11</f>
        <v/>
      </c>
      <c r="G11" s="16">
        <f>F11*168</f>
        <v/>
      </c>
      <c r="H11" s="16">
        <f t="array" ref="H11">IFERROR(INDEX(Rates!$D:$D,MATCH(1,(Rates!$A:$A=A11)*(Rates!$B:$B=B11)*(Rates!$C:$C=C11),0)),RefRate)</f>
        <v/>
      </c>
      <c r="I11" s="16">
        <f>G11*H11</f>
        <v/>
      </c>
    </row>
    <row r="12">
      <c r="A12" s="15" t="inlineStr">
        <is>
          <t>Front-End Mobile</t>
        </is>
      </c>
      <c r="B12" s="15" t="inlineStr">
        <is>
          <t>S1</t>
        </is>
      </c>
      <c r="C12" s="15" t="inlineStr">
        <is>
          <t>Poland</t>
        </is>
      </c>
      <c r="D12" s="15" t="n">
        <v>1</v>
      </c>
      <c r="E12" s="15" t="n">
        <v>0.25</v>
      </c>
      <c r="F12" s="16">
        <f>D12*E12</f>
        <v/>
      </c>
      <c r="G12" s="16">
        <f>F12*168</f>
        <v/>
      </c>
      <c r="H12" s="16">
        <f t="array" ref="H12">IFERROR(INDEX(Rates!$D:$D,MATCH(1,(Rates!$A:$A=A12)*(Rates!$B:$B=B12)*(Rates!$C:$C=C12),0)),RefRate)</f>
        <v/>
      </c>
      <c r="I12" s="16">
        <f>G12*H12</f>
        <v/>
      </c>
    </row>
    <row r="13">
      <c r="A13" s="15" t="inlineStr">
        <is>
          <t>Manual QA</t>
        </is>
      </c>
      <c r="B13" s="15" t="inlineStr">
        <is>
          <t>M1</t>
        </is>
      </c>
      <c r="C13" s="15" t="inlineStr">
        <is>
          <t>Poland</t>
        </is>
      </c>
      <c r="D13" s="15" t="n">
        <v>1</v>
      </c>
      <c r="E13" s="15" t="n">
        <v>0.5</v>
      </c>
      <c r="F13" s="16">
        <f>D13*E13</f>
        <v/>
      </c>
      <c r="G13" s="16">
        <f>F13*168</f>
        <v/>
      </c>
      <c r="H13" s="16">
        <f t="array" ref="H13">IFERROR(INDEX(Rates!$D:$D,MATCH(1,(Rates!$A:$A=A13)*(Rates!$B:$B=B13)*(Rates!$C:$C=C13),0)),RefRate)</f>
        <v/>
      </c>
      <c r="I13" s="16">
        <f>G13*H13</f>
        <v/>
      </c>
    </row>
    <row r="14">
      <c r="A14" s="15" t="inlineStr">
        <is>
          <t>DevOps</t>
        </is>
      </c>
      <c r="B14" s="15" t="inlineStr">
        <is>
          <t>S1</t>
        </is>
      </c>
      <c r="C14" s="15" t="inlineStr">
        <is>
          <t>Poland</t>
        </is>
      </c>
      <c r="D14" s="15" t="n">
        <v>1</v>
      </c>
      <c r="E14" s="15" t="n">
        <v>0.5</v>
      </c>
      <c r="F14" s="16">
        <f>D14*E14</f>
        <v/>
      </c>
      <c r="G14" s="16">
        <f>F14*168</f>
        <v/>
      </c>
      <c r="H14" s="16">
        <f t="array" ref="H14">IFERROR(INDEX(Rates!$D:$D,MATCH(1,(Rates!$A:$A=A14)*(Rates!$B:$B=B14)*(Rates!$C:$C=C14),0)),RefRate)</f>
        <v/>
      </c>
      <c r="I14" s="16">
        <f>G14*H14</f>
        <v/>
      </c>
    </row>
    <row r="15">
      <c r="A15" s="15" t="inlineStr">
        <is>
          <t>BA</t>
        </is>
      </c>
      <c r="B15" s="15" t="inlineStr">
        <is>
          <t>S1</t>
        </is>
      </c>
      <c r="C15" s="15" t="inlineStr">
        <is>
          <t>Poland</t>
        </is>
      </c>
      <c r="D15" s="15" t="n">
        <v>1</v>
      </c>
      <c r="E15" s="15" t="n">
        <v>0.1</v>
      </c>
      <c r="F15" s="16">
        <f>D15*E15</f>
        <v/>
      </c>
      <c r="G15" s="16">
        <f>F15*168</f>
        <v/>
      </c>
      <c r="H15" s="16">
        <f t="array" ref="H15">IFERROR(INDEX(Rates!$D:$D,MATCH(1,(Rates!$A:$A=A15)*(Rates!$B:$B=B15)*(Rates!$C:$C=C15),0)),RefRate)</f>
        <v/>
      </c>
      <c r="I15" s="16">
        <f>G15*H15</f>
        <v/>
      </c>
    </row>
    <row r="16">
      <c r="A16" s="15" t="inlineStr">
        <is>
          <t>Solution Architect</t>
        </is>
      </c>
      <c r="B16" s="15" t="inlineStr">
        <is>
          <t>S1</t>
        </is>
      </c>
      <c r="C16" s="15" t="inlineStr">
        <is>
          <t>Poland</t>
        </is>
      </c>
      <c r="D16" s="15" t="n">
        <v>1</v>
      </c>
      <c r="E16" s="15" t="n">
        <v>0.1</v>
      </c>
      <c r="F16" s="16">
        <f>D16*E16</f>
        <v/>
      </c>
      <c r="G16" s="16">
        <f>F16*168</f>
        <v/>
      </c>
      <c r="H16" s="16">
        <f t="array" ref="H16">IFERROR(INDEX(Rates!$D:$D,MATCH(1,(Rates!$A:$A=A16)*(Rates!$B:$B=B16)*(Rates!$C:$C=C16),0)),RefRate)</f>
        <v/>
      </c>
      <c r="I16" s="16">
        <f>G16*H16</f>
        <v/>
      </c>
    </row>
    <row r="18">
      <c r="A18" s="14" t="inlineStr">
        <is>
          <t>Monthly Run-rate Total</t>
        </is>
      </c>
      <c r="I18" s="16">
        <f>SUM(I9:I16)</f>
        <v/>
      </c>
    </row>
    <row r="19">
      <c r="A19" s="14" t="inlineStr">
        <is>
          <t>Annual Run-rate</t>
        </is>
      </c>
      <c r="I19" s="16">
        <f>I18*12</f>
        <v/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7" min="1" max="1"/>
    <col width="38" customWidth="1" style="27" min="2" max="2"/>
    <col width="14" customWidth="1" style="27" min="3" max="4"/>
    <col width="16" customWidth="1" style="27" min="5" max="5"/>
    <col width="14" customWidth="1" style="27" min="6" max="6"/>
    <col width="8.710000000000001" customWidth="1" style="27" min="7" max="26"/>
  </cols>
  <sheetData>
    <row r="1">
      <c r="A1" s="6" t="inlineStr">
        <is>
          <t>Epic Weight (Build cost ranking)</t>
        </is>
      </c>
    </row>
    <row r="2" ht="30" customHeight="1" s="27">
      <c r="A2" s="7" t="inlineStr">
        <is>
          <t>Purpose:</t>
        </is>
      </c>
      <c r="B2" s="28" t="inlineStr">
        <is>
          <t>The 'where does the money go?' view. Sums Expected Implementation BE+FE per epic from WBS and Estimates, multiplied by RefRate, and ranks epics by cost.</t>
        </is>
      </c>
    </row>
    <row r="3" ht="48" customHeight="1" s="27">
      <c r="A3" s="7" t="inlineStr">
        <is>
          <t>How to use:</t>
        </is>
      </c>
      <c r="B3" s="28" t="inlineStr">
        <is>
          <t>(1) The Epic ID column matches against the LEFT of WBS column B (ID). Add a row per epic; epic prefix must match the ID format used on WBS (e.g. 'E-1', 'INF'). (2) Cost is blended (BE+FE Expected hours * RefRate). For role-aware cost split, build a custom view from Headcount and Cost. (3) % of build column is share of total — useful in client conversations.</t>
        </is>
      </c>
    </row>
    <row r="4" ht="30" customHeight="1" s="27">
      <c r="A4" s="7" t="inlineStr">
        <is>
          <t>Inputs:</t>
        </is>
      </c>
      <c r="B4" s="28" t="inlineStr">
        <is>
          <t>Epic IDs (manual). WBS and Estimates Expected BE/FE columns. RefRate.</t>
        </is>
      </c>
    </row>
    <row r="5" ht="30" customHeight="1" s="27">
      <c r="A5" s="7" t="inlineStr">
        <is>
          <t>Outputs:</t>
        </is>
      </c>
      <c r="B5" s="28" t="inlineStr">
        <is>
          <t>Per-epic build cost and % of total. Sort the table after totals are calculated to rank.</t>
        </is>
      </c>
    </row>
    <row r="6" ht="30" customHeight="1" s="27">
      <c r="A6" s="7" t="inlineStr">
        <is>
          <t>Linked tabs:</t>
        </is>
      </c>
      <c r="B6" s="28" t="inlineStr">
        <is>
          <t>WBS and Estimates (data source). Input Data (RefRate).</t>
        </is>
      </c>
    </row>
    <row r="8">
      <c r="A8" s="17" t="inlineStr">
        <is>
          <t>Epic ID</t>
        </is>
      </c>
      <c r="B8" s="17" t="inlineStr">
        <is>
          <t>Epic Name</t>
        </is>
      </c>
      <c r="C8" s="17" t="inlineStr">
        <is>
          <t>BE Hours</t>
        </is>
      </c>
      <c r="D8" s="17" t="inlineStr">
        <is>
          <t>FE Hours</t>
        </is>
      </c>
      <c r="E8" s="17" t="inlineStr">
        <is>
          <t>Cost (blended), $</t>
        </is>
      </c>
      <c r="F8" s="17" t="inlineStr">
        <is>
          <t>% of build</t>
        </is>
      </c>
    </row>
    <row r="9">
      <c r="A9" s="15" t="inlineStr">
        <is>
          <t>INF</t>
        </is>
      </c>
      <c r="B9" s="15" t="inlineStr">
        <is>
          <t>Infrastructure &amp; Foundations</t>
        </is>
      </c>
      <c r="C9" s="16">
        <f>SUMPRODUCT(--(LEFT('WBS and Estimates'!$B$1:$B$500,3)=A9),'WBS and Estimates'!$P$1:$P$500)</f>
        <v/>
      </c>
      <c r="D9" s="16">
        <f>SUMPRODUCT(--(LEFT('WBS and Estimates'!$B$1:$B$500,3)=A9),'WBS and Estimates'!$Q$1:$Q$500)</f>
        <v/>
      </c>
      <c r="E9" s="16">
        <f>(C9+D9)*RefRate</f>
        <v/>
      </c>
      <c r="F9" s="16">
        <f>IFERROR(E9/SUM($E$9:$E$59),0)</f>
        <v/>
      </c>
    </row>
    <row r="10">
      <c r="A10" s="15" t="inlineStr">
        <is>
          <t>E-1</t>
        </is>
      </c>
      <c r="B10" s="15" t="inlineStr">
        <is>
          <t>Authorization</t>
        </is>
      </c>
      <c r="C10" s="16">
        <f>SUMPRODUCT(--(LEFT('WBS and Estimates'!$B$1:$B$500,3)=A10),'WBS and Estimates'!$P$1:$P$500)</f>
        <v/>
      </c>
      <c r="D10" s="16">
        <f>SUMPRODUCT(--(LEFT('WBS and Estimates'!$B$1:$B$500,3)=A10),'WBS and Estimates'!$Q$1:$Q$500)</f>
        <v/>
      </c>
      <c r="E10" s="16">
        <f>(C10+D10)*RefRate</f>
        <v/>
      </c>
      <c r="F10" s="16">
        <f>IFERROR(E10/SUM($E$9:$E$59),0)</f>
        <v/>
      </c>
    </row>
    <row r="11">
      <c r="A11" s="15" t="inlineStr">
        <is>
          <t>E-2</t>
        </is>
      </c>
      <c r="B11" s="15" t="inlineStr">
        <is>
          <t>Profile Management</t>
        </is>
      </c>
      <c r="C11" s="16">
        <f>SUMPRODUCT(--(LEFT('WBS and Estimates'!$B$1:$B$500,3)=A11),'WBS and Estimates'!$P$1:$P$500)</f>
        <v/>
      </c>
      <c r="D11" s="16">
        <f>SUMPRODUCT(--(LEFT('WBS and Estimates'!$B$1:$B$500,3)=A11),'WBS and Estimates'!$Q$1:$Q$500)</f>
        <v/>
      </c>
      <c r="E11" s="16">
        <f>(C11+D11)*RefRate</f>
        <v/>
      </c>
      <c r="F11" s="16">
        <f>IFERROR(E11/SUM($E$9:$E$59),0)</f>
        <v/>
      </c>
    </row>
    <row r="12">
      <c r="A12" s="15" t="inlineStr">
        <is>
          <t>E-3</t>
        </is>
      </c>
      <c r="B12" s="15" t="inlineStr">
        <is>
          <t>Wallet</t>
        </is>
      </c>
      <c r="C12" s="16">
        <f>SUMPRODUCT(--(LEFT('WBS and Estimates'!$B$1:$B$500,3)=A12),'WBS and Estimates'!$P$1:$P$500)</f>
        <v/>
      </c>
      <c r="D12" s="16">
        <f>SUMPRODUCT(--(LEFT('WBS and Estimates'!$B$1:$B$500,3)=A12),'WBS and Estimates'!$Q$1:$Q$500)</f>
        <v/>
      </c>
      <c r="E12" s="16">
        <f>(C12+D12)*RefRate</f>
        <v/>
      </c>
      <c r="F12" s="16">
        <f>IFERROR(E12/SUM($E$9:$E$59),0)</f>
        <v/>
      </c>
    </row>
    <row r="14">
      <c r="B14" s="14" t="inlineStr">
        <is>
          <t>Total</t>
        </is>
      </c>
      <c r="E14" s="16">
        <f>SUM(E9:E12)</f>
        <v/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B4:F4"/>
    <mergeCell ref="B6:F6"/>
    <mergeCell ref="B2:F2"/>
    <mergeCell ref="A1:F1"/>
    <mergeCell ref="B3:F3"/>
    <mergeCell ref="B5:F5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7" min="1" max="1"/>
    <col width="38" customWidth="1" style="27" min="2" max="2"/>
    <col width="12" customWidth="1" style="27" min="3" max="8"/>
    <col width="14" customWidth="1" style="27" min="9" max="10"/>
    <col width="8.710000000000001" customWidth="1" style="27" min="11" max="26"/>
  </cols>
  <sheetData>
    <row r="1">
      <c r="A1" s="6" t="inlineStr">
        <is>
          <t>WBS Comparison (snapshot vs current)</t>
        </is>
      </c>
    </row>
    <row r="2" ht="30" customHeight="1" s="27">
      <c r="A2" s="7" t="inlineStr">
        <is>
          <t>Purpose:</t>
        </is>
      </c>
      <c r="B2" s="28" t="inlineStr">
        <is>
          <t>Tracks scope creep between estimate versions. Stores up to two snapshots side-by-side and computes deltas vs. the current WBS, joined by ID.</t>
        </is>
      </c>
    </row>
    <row r="3" ht="48" customHeight="1" s="27">
      <c r="A3" s="7" t="inlineStr">
        <is>
          <t>How to use:</t>
        </is>
      </c>
      <c r="B3" s="28" t="inlineStr">
        <is>
          <t>(1) PASTE the v1 snapshot BE/FE hours in cols C-D against each ID. (2) Optionally paste a v1.1 snapshot in cols E-F. (3) Current BE/FE columns auto-pull from WBS and Estimates by ID match. (4) Δ columns show the change. (5) When a new version starts, snapshot the current numbers into the v1.1 cols (paste-as-values), then move v1.1 to v1 and clear v1.1.</t>
        </is>
      </c>
    </row>
    <row r="4" ht="30" customHeight="1" s="27">
      <c r="A4" s="7" t="inlineStr">
        <is>
          <t>Inputs:</t>
        </is>
      </c>
      <c r="B4" s="28" t="inlineStr">
        <is>
          <t>Snapshot pastes (manual). WBS and Estimates Expected BE/FE.</t>
        </is>
      </c>
    </row>
    <row r="5" ht="30" customHeight="1" s="27">
      <c r="A5" s="7" t="inlineStr">
        <is>
          <t>Outputs:</t>
        </is>
      </c>
      <c r="B5" s="28" t="inlineStr">
        <is>
          <t>Δ BE / Δ FE per row.</t>
        </is>
      </c>
    </row>
    <row r="6" ht="30" customHeight="1" s="27">
      <c r="A6" s="7" t="inlineStr">
        <is>
          <t>Linked tabs:</t>
        </is>
      </c>
      <c r="B6" s="28" t="inlineStr">
        <is>
          <t>WBS and Estimates.</t>
        </is>
      </c>
    </row>
    <row r="8">
      <c r="A8" s="17" t="inlineStr">
        <is>
          <t>ID</t>
        </is>
      </c>
      <c r="B8" s="17" t="inlineStr">
        <is>
          <t>Decomposition Item</t>
        </is>
      </c>
      <c r="C8" s="17" t="inlineStr">
        <is>
          <t>v1 BE</t>
        </is>
      </c>
      <c r="D8" s="17" t="inlineStr">
        <is>
          <t>v1 FE</t>
        </is>
      </c>
      <c r="E8" s="17" t="inlineStr">
        <is>
          <t>v1.1 BE</t>
        </is>
      </c>
      <c r="F8" s="17" t="inlineStr">
        <is>
          <t>v1.1 FE</t>
        </is>
      </c>
      <c r="G8" s="17" t="inlineStr">
        <is>
          <t>Current BE</t>
        </is>
      </c>
      <c r="H8" s="17" t="inlineStr">
        <is>
          <t>Current FE</t>
        </is>
      </c>
      <c r="I8" s="17" t="inlineStr">
        <is>
          <t>Δ (BE)</t>
        </is>
      </c>
      <c r="J8" s="17" t="inlineStr">
        <is>
          <t>Δ (FE)</t>
        </is>
      </c>
    </row>
    <row r="9">
      <c r="A9" s="15" t="inlineStr">
        <is>
          <t>INF-1.1</t>
        </is>
      </c>
      <c r="B9" s="15" t="inlineStr">
        <is>
          <t>Solution setup (repos, project templates)</t>
        </is>
      </c>
      <c r="C9" s="15" t="n"/>
      <c r="D9" s="15" t="n"/>
      <c r="E9" s="15" t="n"/>
      <c r="F9" s="15" t="n"/>
      <c r="G9" s="16">
        <f t="array" ref="G9">IFERROR(INDEX('WBS and Estimates'!$P:$P,MATCH(A9,'WBS and Estimates'!$B:$B,0)),0)</f>
        <v/>
      </c>
      <c r="H9" s="16">
        <f t="array" ref="H9">IFERROR(INDEX('WBS and Estimates'!$Q:$Q,MATCH(A9,'WBS and Estimates'!$B:$B,0)),0)</f>
        <v/>
      </c>
      <c r="I9" s="16">
        <f>G9-IFERROR(E9,C9)</f>
        <v/>
      </c>
      <c r="J9" s="16">
        <f>H9-IFERROR(F9,D9)</f>
        <v/>
      </c>
    </row>
    <row r="10">
      <c r="A10" s="15" t="inlineStr">
        <is>
          <t>INF-1.2</t>
        </is>
      </c>
      <c r="B10" s="15" t="inlineStr">
        <is>
          <t>Local infrastructure setup</t>
        </is>
      </c>
      <c r="C10" s="15" t="n"/>
      <c r="D10" s="15" t="n"/>
      <c r="E10" s="15" t="n"/>
      <c r="F10" s="15" t="n"/>
      <c r="G10" s="16">
        <f t="array" ref="G10">IFERROR(INDEX('WBS and Estimates'!$P:$P,MATCH(A10,'WBS and Estimates'!$B:$B,0)),0)</f>
        <v/>
      </c>
      <c r="H10" s="16">
        <f t="array" ref="H10">IFERROR(INDEX('WBS and Estimates'!$Q:$Q,MATCH(A10,'WBS and Estimates'!$B:$B,0)),0)</f>
        <v/>
      </c>
      <c r="I10" s="16">
        <f>G10-IFERROR(E10,C10)</f>
        <v/>
      </c>
      <c r="J10" s="16">
        <f>H10-IFERROR(F10,D10)</f>
        <v/>
      </c>
    </row>
    <row r="11">
      <c r="A11" s="15" t="inlineStr">
        <is>
          <t>INF-1.3</t>
        </is>
      </c>
      <c r="B11" s="15" t="inlineStr">
        <is>
          <t>CI/CD setup</t>
        </is>
      </c>
      <c r="C11" s="15" t="n"/>
      <c r="D11" s="15" t="n"/>
      <c r="E11" s="15" t="n"/>
      <c r="F11" s="15" t="n"/>
      <c r="G11" s="16">
        <f t="array" ref="G11">IFERROR(INDEX('WBS and Estimates'!$P:$P,MATCH(A11,'WBS and Estimates'!$B:$B,0)),0)</f>
        <v/>
      </c>
      <c r="H11" s="16">
        <f t="array" ref="H11">IFERROR(INDEX('WBS and Estimates'!$Q:$Q,MATCH(A11,'WBS and Estimates'!$B:$B,0)),0)</f>
        <v/>
      </c>
      <c r="I11" s="16">
        <f>G11-IFERROR(E11,C11)</f>
        <v/>
      </c>
      <c r="J11" s="16">
        <f>H11-IFERROR(F11,D11)</f>
        <v/>
      </c>
    </row>
    <row r="12">
      <c r="A12" s="15" t="inlineStr">
        <is>
          <t>INF-1.4</t>
        </is>
      </c>
      <c r="B12" s="15" t="inlineStr">
        <is>
          <t>Static code analysis</t>
        </is>
      </c>
      <c r="C12" s="15" t="n"/>
      <c r="D12" s="15" t="n"/>
      <c r="E12" s="15" t="n"/>
      <c r="F12" s="15" t="n"/>
      <c r="G12" s="16">
        <f t="array" ref="G12">IFERROR(INDEX('WBS and Estimates'!$P:$P,MATCH(A12,'WBS and Estimates'!$B:$B,0)),0)</f>
        <v/>
      </c>
      <c r="H12" s="16">
        <f t="array" ref="H12">IFERROR(INDEX('WBS and Estimates'!$Q:$Q,MATCH(A12,'WBS and Estimates'!$B:$B,0)),0)</f>
        <v/>
      </c>
      <c r="I12" s="16">
        <f>G12-IFERROR(E12,C12)</f>
        <v/>
      </c>
      <c r="J12" s="16">
        <f>H12-IFERROR(F12,D12)</f>
        <v/>
      </c>
    </row>
    <row r="13">
      <c r="A13" s="15" t="inlineStr">
        <is>
          <t>US-1.1</t>
        </is>
      </c>
      <c r="B13" s="15" t="inlineStr">
        <is>
          <t>Onboarding</t>
        </is>
      </c>
      <c r="C13" s="15" t="n"/>
      <c r="D13" s="15" t="n"/>
      <c r="E13" s="15" t="n"/>
      <c r="F13" s="15" t="n"/>
      <c r="G13" s="16">
        <f t="array" ref="G13">IFERROR(INDEX('WBS and Estimates'!$P:$P,MATCH(A13,'WBS and Estimates'!$B:$B,0)),0)</f>
        <v/>
      </c>
      <c r="H13" s="16">
        <f t="array" ref="H13">IFERROR(INDEX('WBS and Estimates'!$Q:$Q,MATCH(A13,'WBS and Estimates'!$B:$B,0)),0)</f>
        <v/>
      </c>
      <c r="I13" s="16">
        <f>G13-IFERROR(E13,C13)</f>
        <v/>
      </c>
      <c r="J13" s="16">
        <f>H13-IFERROR(F13,D13)</f>
        <v/>
      </c>
    </row>
    <row r="14">
      <c r="A14" s="15" t="inlineStr">
        <is>
          <t>US-1.2</t>
        </is>
      </c>
      <c r="B14" s="15" t="inlineStr">
        <is>
          <t>Accept Terms of Use</t>
        </is>
      </c>
      <c r="C14" s="15" t="n"/>
      <c r="D14" s="15" t="n"/>
      <c r="E14" s="15" t="n"/>
      <c r="F14" s="15" t="n"/>
      <c r="G14" s="16">
        <f t="array" ref="G14">IFERROR(INDEX('WBS and Estimates'!$P:$P,MATCH(A14,'WBS and Estimates'!$B:$B,0)),0)</f>
        <v/>
      </c>
      <c r="H14" s="16">
        <f t="array" ref="H14">IFERROR(INDEX('WBS and Estimates'!$Q:$Q,MATCH(A14,'WBS and Estimates'!$B:$B,0)),0)</f>
        <v/>
      </c>
      <c r="I14" s="16">
        <f>G14-IFERROR(E14,C14)</f>
        <v/>
      </c>
      <c r="J14" s="16">
        <f>H14-IFERROR(F14,D14)</f>
        <v/>
      </c>
    </row>
    <row r="15">
      <c r="A15" s="15" t="inlineStr">
        <is>
          <t>US-1.3</t>
        </is>
      </c>
      <c r="B15" s="15" t="inlineStr">
        <is>
          <t>Sign Up (email/phone/SSO)</t>
        </is>
      </c>
      <c r="C15" s="15" t="n"/>
      <c r="D15" s="15" t="n"/>
      <c r="E15" s="15" t="n"/>
      <c r="F15" s="15" t="n"/>
      <c r="G15" s="16">
        <f t="array" ref="G15">IFERROR(INDEX('WBS and Estimates'!$P:$P,MATCH(A15,'WBS and Estimates'!$B:$B,0)),0)</f>
        <v/>
      </c>
      <c r="H15" s="16">
        <f t="array" ref="H15">IFERROR(INDEX('WBS and Estimates'!$Q:$Q,MATCH(A15,'WBS and Estimates'!$B:$B,0)),0)</f>
        <v/>
      </c>
      <c r="I15" s="16">
        <f>G15-IFERROR(E15,C15)</f>
        <v/>
      </c>
      <c r="J15" s="16">
        <f>H15-IFERROR(F15,D15)</f>
        <v/>
      </c>
    </row>
    <row r="16">
      <c r="A16" s="15" t="inlineStr">
        <is>
          <t>US-1.4</t>
        </is>
      </c>
      <c r="B16" s="15" t="inlineStr">
        <is>
          <t>Login</t>
        </is>
      </c>
      <c r="C16" s="15" t="n"/>
      <c r="D16" s="15" t="n"/>
      <c r="E16" s="15" t="n"/>
      <c r="F16" s="15" t="n"/>
      <c r="G16" s="16">
        <f t="array" ref="G16">IFERROR(INDEX('WBS and Estimates'!$P:$P,MATCH(A16,'WBS and Estimates'!$B:$B,0)),0)</f>
        <v/>
      </c>
      <c r="H16" s="16">
        <f t="array" ref="H16">IFERROR(INDEX('WBS and Estimates'!$Q:$Q,MATCH(A16,'WBS and Estimates'!$B:$B,0)),0)</f>
        <v/>
      </c>
      <c r="I16" s="16">
        <f>G16-IFERROR(E16,C16)</f>
        <v/>
      </c>
      <c r="J16" s="16">
        <f>H16-IFERROR(F16,D16)</f>
        <v/>
      </c>
    </row>
    <row r="17">
      <c r="A17" s="15" t="inlineStr">
        <is>
          <t>US-1.5</t>
        </is>
      </c>
      <c r="B17" s="15" t="inlineStr">
        <is>
          <t>Reset password</t>
        </is>
      </c>
      <c r="C17" s="15" t="n"/>
      <c r="D17" s="15" t="n"/>
      <c r="E17" s="15" t="n"/>
      <c r="F17" s="15" t="n"/>
      <c r="G17" s="16">
        <f t="array" ref="G17">IFERROR(INDEX('WBS and Estimates'!$P:$P,MATCH(A17,'WBS and Estimates'!$B:$B,0)),0)</f>
        <v/>
      </c>
      <c r="H17" s="16">
        <f t="array" ref="H17">IFERROR(INDEX('WBS and Estimates'!$Q:$Q,MATCH(A17,'WBS and Estimates'!$B:$B,0)),0)</f>
        <v/>
      </c>
      <c r="I17" s="16">
        <f>G17-IFERROR(E17,C17)</f>
        <v/>
      </c>
      <c r="J17" s="16">
        <f>H17-IFERROR(F17,D17)</f>
        <v/>
      </c>
    </row>
    <row r="18">
      <c r="A18" s="15" t="inlineStr">
        <is>
          <t>US-1.6</t>
        </is>
      </c>
      <c r="B18" s="15" t="inlineStr">
        <is>
          <t>Logout</t>
        </is>
      </c>
      <c r="C18" s="15" t="n"/>
      <c r="D18" s="15" t="n"/>
      <c r="E18" s="15" t="n"/>
      <c r="F18" s="15" t="n"/>
      <c r="G18" s="16">
        <f t="array" ref="G18">IFERROR(INDEX('WBS and Estimates'!$P:$P,MATCH(A18,'WBS and Estimates'!$B:$B,0)),0)</f>
        <v/>
      </c>
      <c r="H18" s="16">
        <f t="array" ref="H18">IFERROR(INDEX('WBS and Estimates'!$Q:$Q,MATCH(A18,'WBS and Estimates'!$B:$B,0)),0)</f>
        <v/>
      </c>
      <c r="I18" s="16">
        <f>G18-IFERROR(E18,C18)</f>
        <v/>
      </c>
      <c r="J18" s="16">
        <f>H18-IFERROR(F18,D18)</f>
        <v/>
      </c>
    </row>
    <row r="19">
      <c r="A19" s="15" t="inlineStr">
        <is>
          <t>US-1.7</t>
        </is>
      </c>
      <c r="B19" s="15" t="inlineStr">
        <is>
          <t>2FA setup</t>
        </is>
      </c>
      <c r="C19" s="15" t="n"/>
      <c r="D19" s="15" t="n"/>
      <c r="E19" s="15" t="n"/>
      <c r="F19" s="15" t="n"/>
      <c r="G19" s="16">
        <f t="array" ref="G19">IFERROR(INDEX('WBS and Estimates'!$P:$P,MATCH(A19,'WBS and Estimates'!$B:$B,0)),0)</f>
        <v/>
      </c>
      <c r="H19" s="16">
        <f t="array" ref="H19">IFERROR(INDEX('WBS and Estimates'!$Q:$Q,MATCH(A19,'WBS and Estimates'!$B:$B,0)),0)</f>
        <v/>
      </c>
      <c r="I19" s="16">
        <f>G19-IFERROR(E19,C19)</f>
        <v/>
      </c>
      <c r="J19" s="16">
        <f>H19-IFERROR(F19,D19)</f>
        <v/>
      </c>
    </row>
    <row r="20">
      <c r="A20" s="15" t="inlineStr">
        <is>
          <t>US-2.1</t>
        </is>
      </c>
      <c r="B20" s="15" t="inlineStr">
        <is>
          <t>View profile info</t>
        </is>
      </c>
      <c r="C20" s="15" t="n"/>
      <c r="D20" s="15" t="n"/>
      <c r="E20" s="15" t="n"/>
      <c r="F20" s="15" t="n"/>
      <c r="G20" s="16">
        <f t="array" ref="G20">IFERROR(INDEX('WBS and Estimates'!$P:$P,MATCH(A20,'WBS and Estimates'!$B:$B,0)),0)</f>
        <v/>
      </c>
      <c r="H20" s="16">
        <f t="array" ref="H20">IFERROR(INDEX('WBS and Estimates'!$Q:$Q,MATCH(A20,'WBS and Estimates'!$B:$B,0)),0)</f>
        <v/>
      </c>
      <c r="I20" s="16">
        <f>G20-IFERROR(E20,C20)</f>
        <v/>
      </c>
      <c r="J20" s="16">
        <f>H20-IFERROR(F20,D20)</f>
        <v/>
      </c>
    </row>
    <row r="21" ht="15.75" customHeight="1" s="27">
      <c r="A21" s="15" t="inlineStr">
        <is>
          <t>US-2.2</t>
        </is>
      </c>
      <c r="B21" s="15" t="inlineStr">
        <is>
          <t>Edit personal details</t>
        </is>
      </c>
      <c r="C21" s="15" t="n"/>
      <c r="D21" s="15" t="n"/>
      <c r="E21" s="15" t="n"/>
      <c r="F21" s="15" t="n"/>
      <c r="G21" s="16">
        <f t="array" ref="G21">IFERROR(INDEX('WBS and Estimates'!$P:$P,MATCH(A21,'WBS and Estimates'!$B:$B,0)),0)</f>
        <v/>
      </c>
      <c r="H21" s="16">
        <f t="array" ref="H21">IFERROR(INDEX('WBS and Estimates'!$Q:$Q,MATCH(A21,'WBS and Estimates'!$B:$B,0)),0)</f>
        <v/>
      </c>
      <c r="I21" s="16">
        <f>G21-IFERROR(E21,C21)</f>
        <v/>
      </c>
      <c r="J21" s="16">
        <f>H21-IFERROR(F21,D21)</f>
        <v/>
      </c>
    </row>
    <row r="22" ht="15.75" customHeight="1" s="27">
      <c r="A22" s="15" t="inlineStr">
        <is>
          <t>US-2.3</t>
        </is>
      </c>
      <c r="B22" s="15" t="inlineStr">
        <is>
          <t>Change password</t>
        </is>
      </c>
      <c r="C22" s="15" t="n"/>
      <c r="D22" s="15" t="n"/>
      <c r="E22" s="15" t="n"/>
      <c r="F22" s="15" t="n"/>
      <c r="G22" s="16">
        <f t="array" ref="G22">IFERROR(INDEX('WBS and Estimates'!$P:$P,MATCH(A22,'WBS and Estimates'!$B:$B,0)),0)</f>
        <v/>
      </c>
      <c r="H22" s="16">
        <f t="array" ref="H22">IFERROR(INDEX('WBS and Estimates'!$Q:$Q,MATCH(A22,'WBS and Estimates'!$B:$B,0)),0)</f>
        <v/>
      </c>
      <c r="I22" s="16">
        <f>G22-IFERROR(E22,C22)</f>
        <v/>
      </c>
      <c r="J22" s="16">
        <f>H22-IFERROR(F22,D22)</f>
        <v/>
      </c>
    </row>
    <row r="23" ht="15.75" customHeight="1" s="27">
      <c r="A23" s="15" t="inlineStr">
        <is>
          <t>US-2.4</t>
        </is>
      </c>
      <c r="B23" s="15" t="inlineStr">
        <is>
          <t>Manage notification preferences</t>
        </is>
      </c>
      <c r="C23" s="15" t="n"/>
      <c r="D23" s="15" t="n"/>
      <c r="E23" s="15" t="n"/>
      <c r="F23" s="15" t="n"/>
      <c r="G23" s="16">
        <f t="array" ref="G23">IFERROR(INDEX('WBS and Estimates'!$P:$P,MATCH(A23,'WBS and Estimates'!$B:$B,0)),0)</f>
        <v/>
      </c>
      <c r="H23" s="16">
        <f t="array" ref="H23">IFERROR(INDEX('WBS and Estimates'!$Q:$Q,MATCH(A23,'WBS and Estimates'!$B:$B,0)),0)</f>
        <v/>
      </c>
      <c r="I23" s="16">
        <f>G23-IFERROR(E23,C23)</f>
        <v/>
      </c>
      <c r="J23" s="16">
        <f>H23-IFERROR(F23,D23)</f>
        <v/>
      </c>
    </row>
    <row r="24" ht="15.75" customHeight="1" s="27">
      <c r="A24" s="15" t="inlineStr">
        <is>
          <t>US-2.5</t>
        </is>
      </c>
      <c r="B24" s="15" t="inlineStr">
        <is>
          <t>Delete account</t>
        </is>
      </c>
      <c r="C24" s="15" t="n"/>
      <c r="D24" s="15" t="n"/>
      <c r="E24" s="15" t="n"/>
      <c r="F24" s="15" t="n"/>
      <c r="G24" s="16">
        <f t="array" ref="G24">IFERROR(INDEX('WBS and Estimates'!$P:$P,MATCH(A24,'WBS and Estimates'!$B:$B,0)),0)</f>
        <v/>
      </c>
      <c r="H24" s="16">
        <f t="array" ref="H24">IFERROR(INDEX('WBS and Estimates'!$Q:$Q,MATCH(A24,'WBS and Estimates'!$B:$B,0)),0)</f>
        <v/>
      </c>
      <c r="I24" s="16">
        <f>G24-IFERROR(E24,C24)</f>
        <v/>
      </c>
      <c r="J24" s="16">
        <f>H24-IFERROR(F24,D24)</f>
        <v/>
      </c>
    </row>
    <row r="25" ht="15.75" customHeight="1" s="27">
      <c r="A25" s="15" t="inlineStr">
        <is>
          <t>US-3.1</t>
        </is>
      </c>
      <c r="B25" s="15" t="inlineStr">
        <is>
          <t>Setup wallet</t>
        </is>
      </c>
      <c r="C25" s="15" t="n"/>
      <c r="D25" s="15" t="n"/>
      <c r="E25" s="15" t="n"/>
      <c r="F25" s="15" t="n"/>
      <c r="G25" s="16">
        <f t="array" ref="G25">IFERROR(INDEX('WBS and Estimates'!$P:$P,MATCH(A25,'WBS and Estimates'!$B:$B,0)),0)</f>
        <v/>
      </c>
      <c r="H25" s="16">
        <f t="array" ref="H25">IFERROR(INDEX('WBS and Estimates'!$Q:$Q,MATCH(A25,'WBS and Estimates'!$B:$B,0)),0)</f>
        <v/>
      </c>
      <c r="I25" s="16">
        <f>G25-IFERROR(E25,C25)</f>
        <v/>
      </c>
      <c r="J25" s="16">
        <f>H25-IFERROR(F25,D25)</f>
        <v/>
      </c>
    </row>
    <row r="26" ht="15.75" customHeight="1" s="27">
      <c r="A26" s="15" t="inlineStr">
        <is>
          <t>US-3.2</t>
        </is>
      </c>
      <c r="B26" s="15" t="inlineStr">
        <is>
          <t>Buy tokens</t>
        </is>
      </c>
      <c r="C26" s="15" t="n"/>
      <c r="D26" s="15" t="n"/>
      <c r="E26" s="15" t="n"/>
      <c r="F26" s="15" t="n"/>
      <c r="G26" s="16">
        <f t="array" ref="G26">IFERROR(INDEX('WBS and Estimates'!$P:$P,MATCH(A26,'WBS and Estimates'!$B:$B,0)),0)</f>
        <v/>
      </c>
      <c r="H26" s="16">
        <f t="array" ref="H26">IFERROR(INDEX('WBS and Estimates'!$Q:$Q,MATCH(A26,'WBS and Estimates'!$B:$B,0)),0)</f>
        <v/>
      </c>
      <c r="I26" s="16">
        <f>G26-IFERROR(E26,C26)</f>
        <v/>
      </c>
      <c r="J26" s="16">
        <f>H26-IFERROR(F26,D26)</f>
        <v/>
      </c>
    </row>
    <row r="27" ht="15.75" customHeight="1" s="27">
      <c r="A27" s="15" t="inlineStr">
        <is>
          <t>US-3.3</t>
        </is>
      </c>
      <c r="B27" s="15" t="inlineStr">
        <is>
          <t>Sell tokens</t>
        </is>
      </c>
      <c r="C27" s="15" t="n"/>
      <c r="D27" s="15" t="n"/>
      <c r="E27" s="15" t="n"/>
      <c r="F27" s="15" t="n"/>
      <c r="G27" s="16">
        <f t="array" ref="G27">IFERROR(INDEX('WBS and Estimates'!$P:$P,MATCH(A27,'WBS and Estimates'!$B:$B,0)),0)</f>
        <v/>
      </c>
      <c r="H27" s="16">
        <f t="array" ref="H27">IFERROR(INDEX('WBS and Estimates'!$Q:$Q,MATCH(A27,'WBS and Estimates'!$B:$B,0)),0)</f>
        <v/>
      </c>
      <c r="I27" s="16">
        <f>G27-IFERROR(E27,C27)</f>
        <v/>
      </c>
      <c r="J27" s="16">
        <f>H27-IFERROR(F27,D27)</f>
        <v/>
      </c>
    </row>
    <row r="28" ht="15.75" customHeight="1" s="27">
      <c r="A28" s="15" t="inlineStr">
        <is>
          <t>US-3.4</t>
        </is>
      </c>
      <c r="B28" s="15" t="inlineStr">
        <is>
          <t>View transactions</t>
        </is>
      </c>
      <c r="C28" s="15" t="n"/>
      <c r="D28" s="15" t="n"/>
      <c r="E28" s="15" t="n"/>
      <c r="F28" s="15" t="n"/>
      <c r="G28" s="16">
        <f t="array" ref="G28">IFERROR(INDEX('WBS and Estimates'!$P:$P,MATCH(A28,'WBS and Estimates'!$B:$B,0)),0)</f>
        <v/>
      </c>
      <c r="H28" s="16">
        <f t="array" ref="H28">IFERROR(INDEX('WBS and Estimates'!$Q:$Q,MATCH(A28,'WBS and Estimates'!$B:$B,0)),0)</f>
        <v/>
      </c>
      <c r="I28" s="16">
        <f>G28-IFERROR(E28,C28)</f>
        <v/>
      </c>
      <c r="J28" s="16">
        <f>H28-IFERROR(F28,D28)</f>
        <v/>
      </c>
    </row>
    <row r="29" ht="15.75" customHeight="1" s="27">
      <c r="A29" s="15" t="inlineStr">
        <is>
          <t>US-3.5</t>
        </is>
      </c>
      <c r="B29" s="15" t="inlineStr">
        <is>
          <t>KYC initiate / upload ID / verify</t>
        </is>
      </c>
      <c r="C29" s="15" t="n"/>
      <c r="D29" s="15" t="n"/>
      <c r="E29" s="15" t="n"/>
      <c r="F29" s="15" t="n"/>
      <c r="G29" s="16">
        <f t="array" ref="G29">IFERROR(INDEX('WBS and Estimates'!$P:$P,MATCH(A29,'WBS and Estimates'!$B:$B,0)),0)</f>
        <v/>
      </c>
      <c r="H29" s="16">
        <f t="array" ref="H29">IFERROR(INDEX('WBS and Estimates'!$Q:$Q,MATCH(A29,'WBS and Estimates'!$B:$B,0)),0)</f>
        <v/>
      </c>
      <c r="I29" s="16">
        <f>G29-IFERROR(E29,C29)</f>
        <v/>
      </c>
      <c r="J29" s="16">
        <f>H29-IFERROR(F29,D29)</f>
        <v/>
      </c>
    </row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6">
    <mergeCell ref="A1:J1"/>
    <mergeCell ref="B3:J3"/>
    <mergeCell ref="B5:J5"/>
    <mergeCell ref="B4:J4"/>
    <mergeCell ref="B6:J6"/>
    <mergeCell ref="B2:J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2026-04-28T06:53:46Z</dcterms:created>
  <dcterms:modified xmlns:dcterms="http://purl.org/dc/terms/" xmlns:xsi="http://www.w3.org/2001/XMLSchema-instance" xsi:type="dcterms:W3CDTF">2026-05-07T11:15:19Z</dcterms:modified>
</cp:coreProperties>
</file>